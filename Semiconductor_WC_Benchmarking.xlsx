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Data" sheetId="1" state="visible" r:id="rId1"/>
    <sheet name="WC_NWC" sheetId="2" state="visible" r:id="rId2"/>
    <sheet name="Efficiency_Metrics" sheetId="3" state="visible" r:id="rId3"/>
    <sheet name="Scoring_Ranking" sheetId="4" state="visible" r:id="rId4"/>
    <sheet name="Benchmark_Analysis" sheetId="5" state="visible" r:id="rId5"/>
    <sheet name="Cash_Release" sheetId="6" state="visible" r:id="rId6"/>
    <sheet name="Dashboard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6">
    <font>
      <name val="Calibri"/>
      <family val="2"/>
      <color theme="1"/>
      <sz val="11"/>
      <scheme val="minor"/>
    </font>
    <font>
      <name val="Calibri"/>
      <b val="1"/>
      <color rgb="001F4E79"/>
      <sz val="13"/>
    </font>
    <font>
      <name val="Calibri"/>
      <b val="1"/>
      <color rgb="00FFFFFF"/>
      <sz val="10"/>
    </font>
    <font>
      <name val="Calibri"/>
      <b val="1"/>
      <color rgb="00000000"/>
      <sz val="10"/>
    </font>
    <font>
      <name val="Calibri"/>
      <color rgb="00000000"/>
      <sz val="10"/>
    </font>
    <font>
      <name val="Calibri"/>
      <i val="1"/>
      <color rgb="00595959"/>
      <sz val="9"/>
    </font>
  </fonts>
  <fills count="9">
    <fill>
      <patternFill/>
    </fill>
    <fill>
      <patternFill patternType="gray125"/>
    </fill>
    <fill>
      <patternFill patternType="solid">
        <fgColor rgb="00D6E4F0"/>
      </patternFill>
    </fill>
    <fill>
      <patternFill patternType="solid">
        <fgColor rgb="001F4E79"/>
      </patternFill>
    </fill>
    <fill>
      <patternFill patternType="solid">
        <fgColor rgb="00FFFFFF"/>
      </patternFill>
    </fill>
    <fill>
      <patternFill patternType="solid">
        <fgColor rgb="00DEEAF1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2E75B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3" fontId="4" fillId="4" borderId="1" applyAlignment="1" pivotButton="0" quotePrefix="0" xfId="0">
      <alignment horizontal="center" vertical="center" wrapText="1"/>
    </xf>
    <xf numFmtId="49" fontId="4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 wrapText="1"/>
    </xf>
    <xf numFmtId="3" fontId="4" fillId="5" borderId="1" applyAlignment="1" pivotButton="0" quotePrefix="0" xfId="0">
      <alignment horizontal="center" vertical="center" wrapText="1"/>
    </xf>
    <xf numFmtId="49" fontId="4" fillId="5" borderId="1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left" vertical="center" wrapText="1"/>
    </xf>
    <xf numFmtId="49" fontId="4" fillId="4" borderId="1" applyAlignment="1" pivotButton="0" quotePrefix="0" xfId="0">
      <alignment horizontal="left" vertical="center" wrapText="1"/>
    </xf>
    <xf numFmtId="164" fontId="4" fillId="4" borderId="1" applyAlignment="1" pivotButton="0" quotePrefix="0" xfId="0">
      <alignment horizontal="center" vertical="center" wrapText="1"/>
    </xf>
    <xf numFmtId="2" fontId="4" fillId="4" borderId="1" applyAlignment="1" pivotButton="0" quotePrefix="0" xfId="0">
      <alignment horizontal="center" vertical="center" wrapText="1"/>
    </xf>
    <xf numFmtId="1" fontId="4" fillId="4" borderId="1" applyAlignment="1" pivotButton="0" quotePrefix="0" xfId="0">
      <alignment horizontal="center" vertical="center" wrapText="1"/>
    </xf>
    <xf numFmtId="49" fontId="4" fillId="5" borderId="1" applyAlignment="1" pivotButton="0" quotePrefix="0" xfId="0">
      <alignment horizontal="left" vertical="center" wrapText="1"/>
    </xf>
    <xf numFmtId="164" fontId="4" fillId="5" borderId="1" applyAlignment="1" pivotButton="0" quotePrefix="0" xfId="0">
      <alignment horizontal="center" vertical="center" wrapText="1"/>
    </xf>
    <xf numFmtId="2" fontId="4" fillId="5" borderId="1" applyAlignment="1" pivotButton="0" quotePrefix="0" xfId="0">
      <alignment horizontal="center" vertical="center" wrapText="1"/>
    </xf>
    <xf numFmtId="1" fontId="4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left" vertical="center" wrapText="1"/>
    </xf>
    <xf numFmtId="164" fontId="3" fillId="6" borderId="1" applyAlignment="1" pivotButton="0" quotePrefix="0" xfId="0">
      <alignment horizontal="center" vertical="center" wrapText="1"/>
    </xf>
    <xf numFmtId="2" fontId="3" fillId="6" borderId="1" applyAlignment="1" pivotButton="0" quotePrefix="0" xfId="0">
      <alignment horizontal="center" vertical="center" wrapText="1"/>
    </xf>
    <xf numFmtId="165" fontId="4" fillId="4" borderId="1" applyAlignment="1" pivotButton="0" quotePrefix="0" xfId="0">
      <alignment horizontal="center" vertical="center" wrapText="1"/>
    </xf>
    <xf numFmtId="165" fontId="4" fillId="5" borderId="1" applyAlignment="1" pivotButton="0" quotePrefix="0" xfId="0">
      <alignment horizontal="center" vertical="center" wrapText="1"/>
    </xf>
    <xf numFmtId="165" fontId="3" fillId="6" borderId="1" applyAlignment="1" pivotButton="0" quotePrefix="0" xfId="0">
      <alignment horizontal="center" vertical="center" wrapText="1"/>
    </xf>
    <xf numFmtId="3" fontId="3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left" vertical="center" wrapText="1"/>
    </xf>
    <xf numFmtId="3" fontId="3" fillId="7" borderId="1" applyAlignment="1" pivotButton="0" quotePrefix="0" xfId="0">
      <alignment horizontal="center" vertical="center" wrapText="1"/>
    </xf>
    <xf numFmtId="0" fontId="2" fillId="8" borderId="1" applyAlignment="1" pivotButton="0" quotePrefix="0" xfId="0">
      <alignment horizontal="left" vertical="center" wrapText="1"/>
    </xf>
    <xf numFmtId="0" fontId="2" fillId="8" borderId="1" applyAlignment="1" pivotButton="0" quotePrefix="0" xfId="0">
      <alignment horizontal="center" vertical="center" wrapText="1"/>
    </xf>
    <xf numFmtId="3" fontId="3" fillId="4" borderId="1" applyAlignment="1" pivotButton="0" quotePrefix="0" xfId="0">
      <alignment horizontal="center" vertical="center" wrapText="1"/>
    </xf>
    <xf numFmtId="3" fontId="3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6" customWidth="1" min="4" max="4"/>
    <col width="12" customWidth="1" min="5" max="5"/>
    <col width="17" customWidth="1" min="6" max="6"/>
    <col width="16" customWidth="1" min="7" max="7"/>
    <col width="14" customWidth="1" min="8" max="8"/>
    <col width="18" customWidth="1" min="9" max="9"/>
    <col width="16" customWidth="1" min="10" max="10"/>
    <col width="12" customWidth="1" min="11" max="11"/>
  </cols>
  <sheetData>
    <row r="1" ht="22" customHeight="1">
      <c r="A1" s="1" t="inlineStr">
        <is>
          <t>Semiconductor Peer Group – FY2023 Raw Financial Data (USD Millions) — SOURCE DATA ONLY</t>
        </is>
      </c>
    </row>
    <row r="2" ht="38" customHeight="1">
      <c r="A2" s="2" t="inlineStr">
        <is>
          <t>Company</t>
        </is>
      </c>
      <c r="B2" s="2" t="inlineStr">
        <is>
          <t>Revenue
($M)</t>
        </is>
      </c>
      <c r="C2" s="2" t="inlineStr">
        <is>
          <t>COGS
($M)</t>
        </is>
      </c>
      <c r="D2" s="2" t="inlineStr">
        <is>
          <t>Accounts
Receivable ($M)</t>
        </is>
      </c>
      <c r="E2" s="2" t="inlineStr">
        <is>
          <t>Inventory
($M)</t>
        </is>
      </c>
      <c r="F2" s="2" t="inlineStr">
        <is>
          <t>Cash &amp; ST
Investments ($M)</t>
        </is>
      </c>
      <c r="G2" s="2" t="inlineStr">
        <is>
          <t>Total Current
Assets ($M)</t>
        </is>
      </c>
      <c r="H2" s="2" t="inlineStr">
        <is>
          <t>Accounts
Payable ($M)</t>
        </is>
      </c>
      <c r="I2" s="2" t="inlineStr">
        <is>
          <t>Total Current
Liabilities ($M)</t>
        </is>
      </c>
      <c r="J2" s="2" t="inlineStr">
        <is>
          <t>Operating
Cash Flow ($M)</t>
        </is>
      </c>
      <c r="K2" s="2" t="inlineStr">
        <is>
          <t>Fiscal Year
End</t>
        </is>
      </c>
    </row>
    <row r="3">
      <c r="A3" s="3" t="inlineStr">
        <is>
          <t>AMD</t>
        </is>
      </c>
      <c r="B3" s="4" t="n">
        <v>22680</v>
      </c>
      <c r="C3" s="4" t="n">
        <v>11529</v>
      </c>
      <c r="D3" s="4" t="n">
        <v>2558</v>
      </c>
      <c r="E3" s="4" t="n">
        <v>1848</v>
      </c>
      <c r="F3" s="4" t="n">
        <v>5773</v>
      </c>
      <c r="G3" s="4" t="n">
        <v>12084</v>
      </c>
      <c r="H3" s="4" t="n">
        <v>1397</v>
      </c>
      <c r="I3" s="4" t="n">
        <v>4538</v>
      </c>
      <c r="J3" s="4" t="n">
        <v>2817</v>
      </c>
      <c r="K3" s="5" t="inlineStr">
        <is>
          <t>Dec 2023</t>
        </is>
      </c>
    </row>
    <row r="4">
      <c r="A4" s="6" t="inlineStr">
        <is>
          <t>Intel</t>
        </is>
      </c>
      <c r="B4" s="7" t="n">
        <v>54228</v>
      </c>
      <c r="C4" s="7" t="n">
        <v>29134</v>
      </c>
      <c r="D4" s="7" t="n">
        <v>3039</v>
      </c>
      <c r="E4" s="7" t="n">
        <v>11127</v>
      </c>
      <c r="F4" s="7" t="n">
        <v>25020</v>
      </c>
      <c r="G4" s="7" t="n">
        <v>43273</v>
      </c>
      <c r="H4" s="7" t="n">
        <v>3987</v>
      </c>
      <c r="I4" s="7" t="n">
        <v>28053</v>
      </c>
      <c r="J4" s="7" t="n">
        <v>11518</v>
      </c>
      <c r="K4" s="8" t="inlineStr">
        <is>
          <t>Dec 2023</t>
        </is>
      </c>
    </row>
    <row r="5">
      <c r="A5" s="3" t="inlineStr">
        <is>
          <t>Texas Instruments</t>
        </is>
      </c>
      <c r="B5" s="4" t="n">
        <v>17519</v>
      </c>
      <c r="C5" s="4" t="n">
        <v>5679</v>
      </c>
      <c r="D5" s="4" t="n">
        <v>813</v>
      </c>
      <c r="E5" s="4" t="n">
        <v>3812</v>
      </c>
      <c r="F5" s="4" t="n">
        <v>8474</v>
      </c>
      <c r="G5" s="4" t="n">
        <v>11497</v>
      </c>
      <c r="H5" s="4" t="n">
        <v>347</v>
      </c>
      <c r="I5" s="4" t="n">
        <v>2632</v>
      </c>
      <c r="J5" s="4" t="n">
        <v>6334</v>
      </c>
      <c r="K5" s="5" t="inlineStr">
        <is>
          <t>Dec 2023</t>
        </is>
      </c>
    </row>
    <row r="6">
      <c r="A6" s="6" t="inlineStr">
        <is>
          <t>NVIDIA</t>
        </is>
      </c>
      <c r="B6" s="7" t="n">
        <v>60922</v>
      </c>
      <c r="C6" s="7" t="n">
        <v>16621</v>
      </c>
      <c r="D6" s="7" t="n">
        <v>9999</v>
      </c>
      <c r="E6" s="7" t="n">
        <v>5282</v>
      </c>
      <c r="F6" s="7" t="n">
        <v>25984</v>
      </c>
      <c r="G6" s="7" t="n">
        <v>46200</v>
      </c>
      <c r="H6" s="7" t="n">
        <v>1306</v>
      </c>
      <c r="I6" s="7" t="n">
        <v>10631</v>
      </c>
      <c r="J6" s="7" t="n">
        <v>28080</v>
      </c>
      <c r="K6" s="8" t="inlineStr">
        <is>
          <t>Jan 2024</t>
        </is>
      </c>
    </row>
    <row r="7">
      <c r="A7" s="3" t="inlineStr">
        <is>
          <t>Qualcomm</t>
        </is>
      </c>
      <c r="B7" s="4" t="n">
        <v>35820</v>
      </c>
      <c r="C7" s="4" t="n">
        <v>16040</v>
      </c>
      <c r="D7" s="4" t="n">
        <v>2040</v>
      </c>
      <c r="E7" s="4" t="n">
        <v>2313</v>
      </c>
      <c r="F7" s="4" t="n">
        <v>8520</v>
      </c>
      <c r="G7" s="4" t="n">
        <v>14049</v>
      </c>
      <c r="H7" s="4" t="n">
        <v>791</v>
      </c>
      <c r="I7" s="4" t="n">
        <v>9016</v>
      </c>
      <c r="J7" s="4" t="n">
        <v>10133</v>
      </c>
      <c r="K7" s="5" t="inlineStr">
        <is>
          <t>Sep 2023</t>
        </is>
      </c>
    </row>
    <row r="8">
      <c r="A8" s="6" t="inlineStr">
        <is>
          <t>NXP Semi</t>
        </is>
      </c>
      <c r="B8" s="7" t="n">
        <v>13276</v>
      </c>
      <c r="C8" s="7" t="n">
        <v>6146</v>
      </c>
      <c r="D8" s="7" t="n">
        <v>1091</v>
      </c>
      <c r="E8" s="7" t="n">
        <v>1700</v>
      </c>
      <c r="F8" s="7" t="n">
        <v>3276</v>
      </c>
      <c r="G8" s="7" t="n">
        <v>6504</v>
      </c>
      <c r="H8" s="7" t="n">
        <v>696</v>
      </c>
      <c r="I8" s="7" t="n">
        <v>3709</v>
      </c>
      <c r="J8" s="7" t="n">
        <v>3281</v>
      </c>
      <c r="K8" s="8" t="inlineStr">
        <is>
          <t>Dec 2023</t>
        </is>
      </c>
    </row>
    <row r="9">
      <c r="A9" s="3" t="inlineStr">
        <is>
          <t>TSMC</t>
        </is>
      </c>
      <c r="B9" s="4" t="n">
        <v>69299</v>
      </c>
      <c r="C9" s="4" t="n">
        <v>31608</v>
      </c>
      <c r="D9" s="4" t="n">
        <v>4208</v>
      </c>
      <c r="E9" s="4" t="n">
        <v>6519</v>
      </c>
      <c r="F9" s="4" t="n">
        <v>35050</v>
      </c>
      <c r="G9" s="4" t="n">
        <v>46350</v>
      </c>
      <c r="H9" s="4" t="n">
        <v>3523</v>
      </c>
      <c r="I9" s="4" t="n">
        <v>25100</v>
      </c>
      <c r="J9" s="4" t="n">
        <v>37200</v>
      </c>
      <c r="K9" s="5" t="inlineStr">
        <is>
          <t>Dec 2023</t>
        </is>
      </c>
    </row>
    <row r="10">
      <c r="A10" s="6" t="inlineStr">
        <is>
          <t>Micron</t>
        </is>
      </c>
      <c r="B10" s="7" t="n">
        <v>15540</v>
      </c>
      <c r="C10" s="7" t="n">
        <v>13974</v>
      </c>
      <c r="D10" s="7" t="n">
        <v>2388</v>
      </c>
      <c r="E10" s="7" t="n">
        <v>8032</v>
      </c>
      <c r="F10" s="7" t="n">
        <v>9830</v>
      </c>
      <c r="G10" s="7" t="n">
        <v>15070</v>
      </c>
      <c r="H10" s="7" t="n">
        <v>701</v>
      </c>
      <c r="I10" s="7" t="n">
        <v>7730</v>
      </c>
      <c r="J10" s="7" t="n">
        <v>1583</v>
      </c>
      <c r="K10" s="8" t="inlineStr">
        <is>
          <t>Aug 2023</t>
        </is>
      </c>
    </row>
    <row r="11">
      <c r="A11" s="3" t="inlineStr">
        <is>
          <t>STMicro</t>
        </is>
      </c>
      <c r="B11" s="4" t="n">
        <v>17290</v>
      </c>
      <c r="C11" s="4" t="n">
        <v>8012</v>
      </c>
      <c r="D11" s="4" t="n">
        <v>2100</v>
      </c>
      <c r="E11" s="4" t="n">
        <v>2980</v>
      </c>
      <c r="F11" s="4" t="n">
        <v>4180</v>
      </c>
      <c r="G11" s="4" t="n">
        <v>11180</v>
      </c>
      <c r="H11" s="4" t="n">
        <v>1204</v>
      </c>
      <c r="I11" s="4" t="n">
        <v>4900</v>
      </c>
      <c r="J11" s="4" t="n">
        <v>4240</v>
      </c>
      <c r="K11" s="5" t="inlineStr">
        <is>
          <t>Dec 2023</t>
        </is>
      </c>
    </row>
    <row r="12">
      <c r="A12" s="6" t="inlineStr">
        <is>
          <t>Infineon</t>
        </is>
      </c>
      <c r="B12" s="7" t="n">
        <v>17400</v>
      </c>
      <c r="C12" s="7" t="n">
        <v>9295</v>
      </c>
      <c r="D12" s="7" t="n">
        <v>1563</v>
      </c>
      <c r="E12" s="7" t="n">
        <v>4050</v>
      </c>
      <c r="F12" s="7" t="n">
        <v>4761</v>
      </c>
      <c r="G12" s="7" t="n">
        <v>12800</v>
      </c>
      <c r="H12" s="7" t="n">
        <v>1089</v>
      </c>
      <c r="I12" s="7" t="n">
        <v>6932</v>
      </c>
      <c r="J12" s="7" t="n">
        <v>3984</v>
      </c>
      <c r="K12" s="8" t="inlineStr">
        <is>
          <t>Sep 2023</t>
        </is>
      </c>
    </row>
    <row r="14">
      <c r="A14" s="9" t="inlineStr">
        <is>
          <t>Sources: AMD/Intel/TXN/NVIDIA/Qualcomm/NXP/Micron → SEC EDGAR 10-K FY2023.  TSMC → 20-F (TWD→USD @31.2).  STMicro/Infineon → 20-F/Annual Report (EUR→USD @1.065).  NVIDIA FY ends Jan-2024 | Qualcomm &amp; Infineon FY end Sep-2023 | Micron FY ends Aug-2023.</t>
        </is>
      </c>
    </row>
  </sheetData>
  <mergeCells count="2">
    <mergeCell ref="A14:K14"/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9"/>
  <sheetViews>
    <sheetView workbookViewId="0">
      <selection activeCell="A1" sqref="A1"/>
    </sheetView>
  </sheetViews>
  <sheetFormatPr baseColWidth="8" defaultRowHeight="15"/>
  <cols>
    <col width="22" customWidth="1" min="1" max="1"/>
    <col width="15" customWidth="1" min="2" max="2"/>
    <col width="16" customWidth="1" min="3" max="3"/>
    <col width="15" customWidth="1" min="4" max="4"/>
    <col width="12" customWidth="1" min="5" max="5"/>
    <col width="12" customWidth="1" min="6" max="6"/>
    <col width="15" customWidth="1" min="7" max="7"/>
    <col width="12" customWidth="1" min="8" max="8"/>
    <col width="15" customWidth="1" min="9" max="9"/>
    <col width="15" customWidth="1" min="10" max="10"/>
    <col width="12" customWidth="1" min="11" max="11"/>
    <col width="12" customWidth="1" min="12" max="12"/>
    <col width="12" customWidth="1" min="13" max="13"/>
    <col width="10" customWidth="1" min="14" max="14"/>
    <col width="10" customWidth="1" min="15" max="15"/>
  </cols>
  <sheetData>
    <row r="1" ht="22" customHeight="1">
      <c r="A1" s="1" t="inlineStr">
        <is>
          <t>Working Capital &amp; Net Working Capital Analysis — All values computed via formulas referencing Raw_Data</t>
        </is>
      </c>
    </row>
    <row r="2" ht="52" customHeight="1">
      <c r="A2" s="2" t="inlineStr">
        <is>
          <t>Company</t>
        </is>
      </c>
      <c r="B2" s="2" t="inlineStr">
        <is>
          <t>Total Current
Assets ($M)
[=Raw_Data!G]</t>
        </is>
      </c>
      <c r="C2" s="2" t="inlineStr">
        <is>
          <t>Total Current
Liabilities ($M)
[=Raw_Data!I]</t>
        </is>
      </c>
      <c r="D2" s="2" t="inlineStr">
        <is>
          <t>Working Capital
($M)
[=TCA–TCL]</t>
        </is>
      </c>
      <c r="E2" s="2" t="inlineStr">
        <is>
          <t>Revenue
($M)
[=Raw_Data!B]</t>
        </is>
      </c>
      <c r="F2" s="2" t="inlineStr">
        <is>
          <t>WC as %
Revenue
[=WC÷Rev]</t>
        </is>
      </c>
      <c r="G2" s="2" t="inlineStr">
        <is>
          <t>Accounts
Receivable ($M)
[=Raw_Data!D]</t>
        </is>
      </c>
      <c r="H2" s="2" t="inlineStr">
        <is>
          <t>Inventory
($M)
[=Raw_Data!E]</t>
        </is>
      </c>
      <c r="I2" s="2" t="inlineStr">
        <is>
          <t>Accounts
Payable ($M)
[=Raw_Data!H]</t>
        </is>
      </c>
      <c r="J2" s="2" t="inlineStr">
        <is>
          <t>Operational NWC
($M)
[=AR+Inv–AP]</t>
        </is>
      </c>
      <c r="K2" s="2" t="inlineStr">
        <is>
          <t>NWC as %
Revenue
[=NWC÷Rev]</t>
        </is>
      </c>
      <c r="L2" s="2" t="inlineStr">
        <is>
          <t>Current Ratio
[=TCA÷TCL]
(≥1 healthy)</t>
        </is>
      </c>
      <c r="M2" s="2" t="inlineStr">
        <is>
          <t>Quick Ratio
[=(TCA–Inv)÷TCL]
(≥0.8 healthy)</t>
        </is>
      </c>
      <c r="N2" s="2" t="inlineStr">
        <is>
          <t>WC/Rev
Rank
(1=Best)</t>
        </is>
      </c>
      <c r="O2" s="2" t="inlineStr">
        <is>
          <t>NWC/Rev
Rank
(1=Best)</t>
        </is>
      </c>
    </row>
    <row r="3">
      <c r="A3" s="10">
        <f>Raw_Data!A3</f>
        <v/>
      </c>
      <c r="B3" s="4">
        <f>Raw_Data!G3</f>
        <v/>
      </c>
      <c r="C3" s="4">
        <f>Raw_Data!I3</f>
        <v/>
      </c>
      <c r="D3" s="4">
        <f>B3-C3</f>
        <v/>
      </c>
      <c r="E3" s="4">
        <f>Raw_Data!B3</f>
        <v/>
      </c>
      <c r="F3" s="11">
        <f>D3/E3</f>
        <v/>
      </c>
      <c r="G3" s="4">
        <f>Raw_Data!D3</f>
        <v/>
      </c>
      <c r="H3" s="4">
        <f>Raw_Data!E3</f>
        <v/>
      </c>
      <c r="I3" s="4">
        <f>Raw_Data!H3</f>
        <v/>
      </c>
      <c r="J3" s="4">
        <f>G3+H3-I3</f>
        <v/>
      </c>
      <c r="K3" s="11">
        <f>J3/E3</f>
        <v/>
      </c>
      <c r="L3" s="12">
        <f>B3/C3</f>
        <v/>
      </c>
      <c r="M3" s="12">
        <f>(B3-H3)/C3</f>
        <v/>
      </c>
      <c r="N3" s="13">
        <f>RANK(F3,$F$3:$F$12,1)</f>
        <v/>
      </c>
      <c r="O3" s="13">
        <f>RANK(K3,$K$3:$K$12,1)</f>
        <v/>
      </c>
    </row>
    <row r="4">
      <c r="A4" s="14">
        <f>Raw_Data!A4</f>
        <v/>
      </c>
      <c r="B4" s="7">
        <f>Raw_Data!G4</f>
        <v/>
      </c>
      <c r="C4" s="7">
        <f>Raw_Data!I4</f>
        <v/>
      </c>
      <c r="D4" s="7">
        <f>B4-C4</f>
        <v/>
      </c>
      <c r="E4" s="7">
        <f>Raw_Data!B4</f>
        <v/>
      </c>
      <c r="F4" s="15">
        <f>D4/E4</f>
        <v/>
      </c>
      <c r="G4" s="7">
        <f>Raw_Data!D4</f>
        <v/>
      </c>
      <c r="H4" s="7">
        <f>Raw_Data!E4</f>
        <v/>
      </c>
      <c r="I4" s="7">
        <f>Raw_Data!H4</f>
        <v/>
      </c>
      <c r="J4" s="7">
        <f>G4+H4-I4</f>
        <v/>
      </c>
      <c r="K4" s="15">
        <f>J4/E4</f>
        <v/>
      </c>
      <c r="L4" s="16">
        <f>B4/C4</f>
        <v/>
      </c>
      <c r="M4" s="16">
        <f>(B4-H4)/C4</f>
        <v/>
      </c>
      <c r="N4" s="17">
        <f>RANK(F4,$F$3:$F$12,1)</f>
        <v/>
      </c>
      <c r="O4" s="17">
        <f>RANK(K4,$K$3:$K$12,1)</f>
        <v/>
      </c>
    </row>
    <row r="5">
      <c r="A5" s="10">
        <f>Raw_Data!A5</f>
        <v/>
      </c>
      <c r="B5" s="4">
        <f>Raw_Data!G5</f>
        <v/>
      </c>
      <c r="C5" s="4">
        <f>Raw_Data!I5</f>
        <v/>
      </c>
      <c r="D5" s="4">
        <f>B5-C5</f>
        <v/>
      </c>
      <c r="E5" s="4">
        <f>Raw_Data!B5</f>
        <v/>
      </c>
      <c r="F5" s="11">
        <f>D5/E5</f>
        <v/>
      </c>
      <c r="G5" s="4">
        <f>Raw_Data!D5</f>
        <v/>
      </c>
      <c r="H5" s="4">
        <f>Raw_Data!E5</f>
        <v/>
      </c>
      <c r="I5" s="4">
        <f>Raw_Data!H5</f>
        <v/>
      </c>
      <c r="J5" s="4">
        <f>G5+H5-I5</f>
        <v/>
      </c>
      <c r="K5" s="11">
        <f>J5/E5</f>
        <v/>
      </c>
      <c r="L5" s="12">
        <f>B5/C5</f>
        <v/>
      </c>
      <c r="M5" s="12">
        <f>(B5-H5)/C5</f>
        <v/>
      </c>
      <c r="N5" s="13">
        <f>RANK(F5,$F$3:$F$12,1)</f>
        <v/>
      </c>
      <c r="O5" s="13">
        <f>RANK(K5,$K$3:$K$12,1)</f>
        <v/>
      </c>
    </row>
    <row r="6">
      <c r="A6" s="14">
        <f>Raw_Data!A6</f>
        <v/>
      </c>
      <c r="B6" s="7">
        <f>Raw_Data!G6</f>
        <v/>
      </c>
      <c r="C6" s="7">
        <f>Raw_Data!I6</f>
        <v/>
      </c>
      <c r="D6" s="7">
        <f>B6-C6</f>
        <v/>
      </c>
      <c r="E6" s="7">
        <f>Raw_Data!B6</f>
        <v/>
      </c>
      <c r="F6" s="15">
        <f>D6/E6</f>
        <v/>
      </c>
      <c r="G6" s="7">
        <f>Raw_Data!D6</f>
        <v/>
      </c>
      <c r="H6" s="7">
        <f>Raw_Data!E6</f>
        <v/>
      </c>
      <c r="I6" s="7">
        <f>Raw_Data!H6</f>
        <v/>
      </c>
      <c r="J6" s="7">
        <f>G6+H6-I6</f>
        <v/>
      </c>
      <c r="K6" s="15">
        <f>J6/E6</f>
        <v/>
      </c>
      <c r="L6" s="16">
        <f>B6/C6</f>
        <v/>
      </c>
      <c r="M6" s="16">
        <f>(B6-H6)/C6</f>
        <v/>
      </c>
      <c r="N6" s="17">
        <f>RANK(F6,$F$3:$F$12,1)</f>
        <v/>
      </c>
      <c r="O6" s="17">
        <f>RANK(K6,$K$3:$K$12,1)</f>
        <v/>
      </c>
    </row>
    <row r="7">
      <c r="A7" s="10">
        <f>Raw_Data!A7</f>
        <v/>
      </c>
      <c r="B7" s="4">
        <f>Raw_Data!G7</f>
        <v/>
      </c>
      <c r="C7" s="4">
        <f>Raw_Data!I7</f>
        <v/>
      </c>
      <c r="D7" s="4">
        <f>B7-C7</f>
        <v/>
      </c>
      <c r="E7" s="4">
        <f>Raw_Data!B7</f>
        <v/>
      </c>
      <c r="F7" s="11">
        <f>D7/E7</f>
        <v/>
      </c>
      <c r="G7" s="4">
        <f>Raw_Data!D7</f>
        <v/>
      </c>
      <c r="H7" s="4">
        <f>Raw_Data!E7</f>
        <v/>
      </c>
      <c r="I7" s="4">
        <f>Raw_Data!H7</f>
        <v/>
      </c>
      <c r="J7" s="4">
        <f>G7+H7-I7</f>
        <v/>
      </c>
      <c r="K7" s="11">
        <f>J7/E7</f>
        <v/>
      </c>
      <c r="L7" s="12">
        <f>B7/C7</f>
        <v/>
      </c>
      <c r="M7" s="12">
        <f>(B7-H7)/C7</f>
        <v/>
      </c>
      <c r="N7" s="13">
        <f>RANK(F7,$F$3:$F$12,1)</f>
        <v/>
      </c>
      <c r="O7" s="13">
        <f>RANK(K7,$K$3:$K$12,1)</f>
        <v/>
      </c>
    </row>
    <row r="8">
      <c r="A8" s="14">
        <f>Raw_Data!A8</f>
        <v/>
      </c>
      <c r="B8" s="7">
        <f>Raw_Data!G8</f>
        <v/>
      </c>
      <c r="C8" s="7">
        <f>Raw_Data!I8</f>
        <v/>
      </c>
      <c r="D8" s="7">
        <f>B8-C8</f>
        <v/>
      </c>
      <c r="E8" s="7">
        <f>Raw_Data!B8</f>
        <v/>
      </c>
      <c r="F8" s="15">
        <f>D8/E8</f>
        <v/>
      </c>
      <c r="G8" s="7">
        <f>Raw_Data!D8</f>
        <v/>
      </c>
      <c r="H8" s="7">
        <f>Raw_Data!E8</f>
        <v/>
      </c>
      <c r="I8" s="7">
        <f>Raw_Data!H8</f>
        <v/>
      </c>
      <c r="J8" s="7">
        <f>G8+H8-I8</f>
        <v/>
      </c>
      <c r="K8" s="15">
        <f>J8/E8</f>
        <v/>
      </c>
      <c r="L8" s="16">
        <f>B8/C8</f>
        <v/>
      </c>
      <c r="M8" s="16">
        <f>(B8-H8)/C8</f>
        <v/>
      </c>
      <c r="N8" s="17">
        <f>RANK(F8,$F$3:$F$12,1)</f>
        <v/>
      </c>
      <c r="O8" s="17">
        <f>RANK(K8,$K$3:$K$12,1)</f>
        <v/>
      </c>
    </row>
    <row r="9">
      <c r="A9" s="10">
        <f>Raw_Data!A9</f>
        <v/>
      </c>
      <c r="B9" s="4">
        <f>Raw_Data!G9</f>
        <v/>
      </c>
      <c r="C9" s="4">
        <f>Raw_Data!I9</f>
        <v/>
      </c>
      <c r="D9" s="4">
        <f>B9-C9</f>
        <v/>
      </c>
      <c r="E9" s="4">
        <f>Raw_Data!B9</f>
        <v/>
      </c>
      <c r="F9" s="11">
        <f>D9/E9</f>
        <v/>
      </c>
      <c r="G9" s="4">
        <f>Raw_Data!D9</f>
        <v/>
      </c>
      <c r="H9" s="4">
        <f>Raw_Data!E9</f>
        <v/>
      </c>
      <c r="I9" s="4">
        <f>Raw_Data!H9</f>
        <v/>
      </c>
      <c r="J9" s="4">
        <f>G9+H9-I9</f>
        <v/>
      </c>
      <c r="K9" s="11">
        <f>J9/E9</f>
        <v/>
      </c>
      <c r="L9" s="12">
        <f>B9/C9</f>
        <v/>
      </c>
      <c r="M9" s="12">
        <f>(B9-H9)/C9</f>
        <v/>
      </c>
      <c r="N9" s="13">
        <f>RANK(F9,$F$3:$F$12,1)</f>
        <v/>
      </c>
      <c r="O9" s="13">
        <f>RANK(K9,$K$3:$K$12,1)</f>
        <v/>
      </c>
    </row>
    <row r="10">
      <c r="A10" s="14">
        <f>Raw_Data!A10</f>
        <v/>
      </c>
      <c r="B10" s="7">
        <f>Raw_Data!G10</f>
        <v/>
      </c>
      <c r="C10" s="7">
        <f>Raw_Data!I10</f>
        <v/>
      </c>
      <c r="D10" s="7">
        <f>B10-C10</f>
        <v/>
      </c>
      <c r="E10" s="7">
        <f>Raw_Data!B10</f>
        <v/>
      </c>
      <c r="F10" s="15">
        <f>D10/E10</f>
        <v/>
      </c>
      <c r="G10" s="7">
        <f>Raw_Data!D10</f>
        <v/>
      </c>
      <c r="H10" s="7">
        <f>Raw_Data!E10</f>
        <v/>
      </c>
      <c r="I10" s="7">
        <f>Raw_Data!H10</f>
        <v/>
      </c>
      <c r="J10" s="7">
        <f>G10+H10-I10</f>
        <v/>
      </c>
      <c r="K10" s="15">
        <f>J10/E10</f>
        <v/>
      </c>
      <c r="L10" s="16">
        <f>B10/C10</f>
        <v/>
      </c>
      <c r="M10" s="16">
        <f>(B10-H10)/C10</f>
        <v/>
      </c>
      <c r="N10" s="17">
        <f>RANK(F10,$F$3:$F$12,1)</f>
        <v/>
      </c>
      <c r="O10" s="17">
        <f>RANK(K10,$K$3:$K$12,1)</f>
        <v/>
      </c>
    </row>
    <row r="11">
      <c r="A11" s="10">
        <f>Raw_Data!A11</f>
        <v/>
      </c>
      <c r="B11" s="4">
        <f>Raw_Data!G11</f>
        <v/>
      </c>
      <c r="C11" s="4">
        <f>Raw_Data!I11</f>
        <v/>
      </c>
      <c r="D11" s="4">
        <f>B11-C11</f>
        <v/>
      </c>
      <c r="E11" s="4">
        <f>Raw_Data!B11</f>
        <v/>
      </c>
      <c r="F11" s="11">
        <f>D11/E11</f>
        <v/>
      </c>
      <c r="G11" s="4">
        <f>Raw_Data!D11</f>
        <v/>
      </c>
      <c r="H11" s="4">
        <f>Raw_Data!E11</f>
        <v/>
      </c>
      <c r="I11" s="4">
        <f>Raw_Data!H11</f>
        <v/>
      </c>
      <c r="J11" s="4">
        <f>G11+H11-I11</f>
        <v/>
      </c>
      <c r="K11" s="11">
        <f>J11/E11</f>
        <v/>
      </c>
      <c r="L11" s="12">
        <f>B11/C11</f>
        <v/>
      </c>
      <c r="M11" s="12">
        <f>(B11-H11)/C11</f>
        <v/>
      </c>
      <c r="N11" s="13">
        <f>RANK(F11,$F$3:$F$12,1)</f>
        <v/>
      </c>
      <c r="O11" s="13">
        <f>RANK(K11,$K$3:$K$12,1)</f>
        <v/>
      </c>
    </row>
    <row r="12">
      <c r="A12" s="14">
        <f>Raw_Data!A12</f>
        <v/>
      </c>
      <c r="B12" s="7">
        <f>Raw_Data!G12</f>
        <v/>
      </c>
      <c r="C12" s="7">
        <f>Raw_Data!I12</f>
        <v/>
      </c>
      <c r="D12" s="7">
        <f>B12-C12</f>
        <v/>
      </c>
      <c r="E12" s="7">
        <f>Raw_Data!B12</f>
        <v/>
      </c>
      <c r="F12" s="15">
        <f>D12/E12</f>
        <v/>
      </c>
      <c r="G12" s="7">
        <f>Raw_Data!D12</f>
        <v/>
      </c>
      <c r="H12" s="7">
        <f>Raw_Data!E12</f>
        <v/>
      </c>
      <c r="I12" s="7">
        <f>Raw_Data!H12</f>
        <v/>
      </c>
      <c r="J12" s="7">
        <f>G12+H12-I12</f>
        <v/>
      </c>
      <c r="K12" s="15">
        <f>J12/E12</f>
        <v/>
      </c>
      <c r="L12" s="16">
        <f>B12/C12</f>
        <v/>
      </c>
      <c r="M12" s="16">
        <f>(B12-H12)/C12</f>
        <v/>
      </c>
      <c r="N12" s="17">
        <f>RANK(F12,$F$3:$F$12,1)</f>
        <v/>
      </c>
      <c r="O12" s="17">
        <f>RANK(K12,$K$3:$K$12,1)</f>
        <v/>
      </c>
    </row>
    <row r="14">
      <c r="A14" s="18" t="inlineStr">
        <is>
          <t>Best-in-Class WC/Rev  →</t>
        </is>
      </c>
      <c r="F14" s="19">
        <f>MIN(F3:F12)</f>
        <v/>
      </c>
    </row>
    <row r="15">
      <c r="A15" s="18" t="inlineStr">
        <is>
          <t>Best-in-Class NWC/Rev →</t>
        </is>
      </c>
      <c r="K15" s="19">
        <f>MIN(K3:K12)</f>
        <v/>
      </c>
    </row>
    <row r="16">
      <c r="A16" s="18" t="inlineStr">
        <is>
          <t>Peer-Avg Current Ratio →</t>
        </is>
      </c>
      <c r="L16" s="20">
        <f>AVERAGE(L3:L12)</f>
        <v/>
      </c>
    </row>
    <row r="17">
      <c r="A17" s="18" t="inlineStr">
        <is>
          <t>Peer-Avg Quick Ratio   →</t>
        </is>
      </c>
      <c r="M17" s="20">
        <f>AVERAGE(M3:M12)</f>
        <v/>
      </c>
    </row>
    <row r="19">
      <c r="A19" s="9" t="inlineStr">
        <is>
          <t>Current Ratio=TCA÷TCL | Quick Ratio=(TCA–Inv)÷TCL | Operational NWC=AR+Inv–AP (excludes cash/short-term debt).</t>
        </is>
      </c>
    </row>
  </sheetData>
  <mergeCells count="6">
    <mergeCell ref="A1:M1"/>
    <mergeCell ref="A16:E16"/>
    <mergeCell ref="A15:E15"/>
    <mergeCell ref="A19:O19"/>
    <mergeCell ref="A14:E14"/>
    <mergeCell ref="A17:E1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21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3" customWidth="1" min="7" max="7"/>
    <col width="13" customWidth="1" min="8" max="8"/>
    <col width="10" customWidth="1" min="9" max="9"/>
    <col width="13" customWidth="1" min="10" max="10"/>
    <col width="10" customWidth="1" min="11" max="11"/>
    <col width="13" customWidth="1" min="12" max="12"/>
    <col width="13" customWidth="1" min="13" max="13"/>
    <col width="12" customWidth="1" min="14" max="14"/>
    <col width="9" customWidth="1" min="15" max="15"/>
    <col width="9" customWidth="1" min="16" max="16"/>
    <col width="9" customWidth="1" min="17" max="17"/>
    <col width="9" customWidth="1" min="18" max="18"/>
  </cols>
  <sheetData>
    <row r="1" ht="22" customHeight="1">
      <c r="A1" s="1" t="inlineStr">
        <is>
          <t>Efficiency Metrics: DSO | AR Turns | DIO | Inv Turns | DPO | CCC | CRR — All formulas reference Raw_Data</t>
        </is>
      </c>
    </row>
    <row r="2" ht="55" customHeight="1">
      <c r="A2" s="2" t="inlineStr">
        <is>
          <t>Company</t>
        </is>
      </c>
      <c r="B2" s="2" t="inlineStr">
        <is>
          <t>Revenue
($M)</t>
        </is>
      </c>
      <c r="C2" s="2" t="inlineStr">
        <is>
          <t>COGS
($M)</t>
        </is>
      </c>
      <c r="D2" s="2" t="inlineStr">
        <is>
          <t>AR
($M)</t>
        </is>
      </c>
      <c r="E2" s="2" t="inlineStr">
        <is>
          <t>Inventory
($M)</t>
        </is>
      </c>
      <c r="F2" s="2" t="inlineStr">
        <is>
          <t>AP
($M)</t>
        </is>
      </c>
      <c r="G2" s="2" t="inlineStr">
        <is>
          <t>Op. Cash
Flow ($M)</t>
        </is>
      </c>
      <c r="H2" s="2" t="inlineStr">
        <is>
          <t>DSO (days)
[=AR÷Rev×365]
(↓ better)</t>
        </is>
      </c>
      <c r="I2" s="2" t="inlineStr">
        <is>
          <t>AR Turns
[=Rev÷AR]
(↑ better)</t>
        </is>
      </c>
      <c r="J2" s="2" t="inlineStr">
        <is>
          <t>DIO (days)
[=Inv÷COGS×365]
(↓ better)</t>
        </is>
      </c>
      <c r="K2" s="2" t="inlineStr">
        <is>
          <t>Inv Turns
[=COGS÷Inv]
(↑ better)</t>
        </is>
      </c>
      <c r="L2" s="2" t="inlineStr">
        <is>
          <t>DPO (days)
[=AP÷COGS×365]
(↑ better)</t>
        </is>
      </c>
      <c r="M2" s="2" t="inlineStr">
        <is>
          <t>CCC (days)
[=DSO+DIO–DPO]
(↓ better)</t>
        </is>
      </c>
      <c r="N2" s="2" t="inlineStr">
        <is>
          <t>CRR
[=OCF÷Rev]
(↑ better)</t>
        </is>
      </c>
      <c r="O2" s="2" t="inlineStr">
        <is>
          <t>DSO Rank
(1=Best)</t>
        </is>
      </c>
      <c r="P2" s="2" t="inlineStr">
        <is>
          <t>DIO Rank
(1=Best)</t>
        </is>
      </c>
      <c r="Q2" s="2" t="inlineStr">
        <is>
          <t>DPO Rank
(1=Best)</t>
        </is>
      </c>
      <c r="R2" s="2" t="inlineStr">
        <is>
          <t>CCC Rank
(1=Best)</t>
        </is>
      </c>
    </row>
    <row r="3">
      <c r="A3" s="10">
        <f>Raw_Data!A3</f>
        <v/>
      </c>
      <c r="B3" s="4">
        <f>Raw_Data!B3</f>
        <v/>
      </c>
      <c r="C3" s="4">
        <f>Raw_Data!C3</f>
        <v/>
      </c>
      <c r="D3" s="4">
        <f>Raw_Data!D3</f>
        <v/>
      </c>
      <c r="E3" s="4">
        <f>Raw_Data!E3</f>
        <v/>
      </c>
      <c r="F3" s="4">
        <f>Raw_Data!H3</f>
        <v/>
      </c>
      <c r="G3" s="4">
        <f>Raw_Data!J3</f>
        <v/>
      </c>
      <c r="H3" s="21">
        <f>D3/B3*365</f>
        <v/>
      </c>
      <c r="I3" s="21">
        <f>B3/D3</f>
        <v/>
      </c>
      <c r="J3" s="21">
        <f>E3/C3*365</f>
        <v/>
      </c>
      <c r="K3" s="21">
        <f>C3/E3</f>
        <v/>
      </c>
      <c r="L3" s="21">
        <f>F3/C3*365</f>
        <v/>
      </c>
      <c r="M3" s="21">
        <f>H3+J3-L3</f>
        <v/>
      </c>
      <c r="N3" s="11">
        <f>G3/B3</f>
        <v/>
      </c>
      <c r="O3" s="13">
        <f>RANK(H3,$H$3:$H$12,1)</f>
        <v/>
      </c>
      <c r="P3" s="13">
        <f>RANK(J3,$J$3:$J$12,1)</f>
        <v/>
      </c>
      <c r="Q3" s="13">
        <f>RANK(L3,$L$3:$L$12,0)</f>
        <v/>
      </c>
      <c r="R3" s="13">
        <f>RANK(M3,$M$3:$M$12,1)</f>
        <v/>
      </c>
    </row>
    <row r="4">
      <c r="A4" s="14">
        <f>Raw_Data!A4</f>
        <v/>
      </c>
      <c r="B4" s="7">
        <f>Raw_Data!B4</f>
        <v/>
      </c>
      <c r="C4" s="7">
        <f>Raw_Data!C4</f>
        <v/>
      </c>
      <c r="D4" s="7">
        <f>Raw_Data!D4</f>
        <v/>
      </c>
      <c r="E4" s="7">
        <f>Raw_Data!E4</f>
        <v/>
      </c>
      <c r="F4" s="7">
        <f>Raw_Data!H4</f>
        <v/>
      </c>
      <c r="G4" s="7">
        <f>Raw_Data!J4</f>
        <v/>
      </c>
      <c r="H4" s="22">
        <f>D4/B4*365</f>
        <v/>
      </c>
      <c r="I4" s="22">
        <f>B4/D4</f>
        <v/>
      </c>
      <c r="J4" s="22">
        <f>E4/C4*365</f>
        <v/>
      </c>
      <c r="K4" s="22">
        <f>C4/E4</f>
        <v/>
      </c>
      <c r="L4" s="22">
        <f>F4/C4*365</f>
        <v/>
      </c>
      <c r="M4" s="22">
        <f>H4+J4-L4</f>
        <v/>
      </c>
      <c r="N4" s="15">
        <f>G4/B4</f>
        <v/>
      </c>
      <c r="O4" s="17">
        <f>RANK(H4,$H$3:$H$12,1)</f>
        <v/>
      </c>
      <c r="P4" s="17">
        <f>RANK(J4,$J$3:$J$12,1)</f>
        <v/>
      </c>
      <c r="Q4" s="17">
        <f>RANK(L4,$L$3:$L$12,0)</f>
        <v/>
      </c>
      <c r="R4" s="17">
        <f>RANK(M4,$M$3:$M$12,1)</f>
        <v/>
      </c>
    </row>
    <row r="5">
      <c r="A5" s="10">
        <f>Raw_Data!A5</f>
        <v/>
      </c>
      <c r="B5" s="4">
        <f>Raw_Data!B5</f>
        <v/>
      </c>
      <c r="C5" s="4">
        <f>Raw_Data!C5</f>
        <v/>
      </c>
      <c r="D5" s="4">
        <f>Raw_Data!D5</f>
        <v/>
      </c>
      <c r="E5" s="4">
        <f>Raw_Data!E5</f>
        <v/>
      </c>
      <c r="F5" s="4">
        <f>Raw_Data!H5</f>
        <v/>
      </c>
      <c r="G5" s="4">
        <f>Raw_Data!J5</f>
        <v/>
      </c>
      <c r="H5" s="21">
        <f>D5/B5*365</f>
        <v/>
      </c>
      <c r="I5" s="21">
        <f>B5/D5</f>
        <v/>
      </c>
      <c r="J5" s="21">
        <f>E5/C5*365</f>
        <v/>
      </c>
      <c r="K5" s="21">
        <f>C5/E5</f>
        <v/>
      </c>
      <c r="L5" s="21">
        <f>F5/C5*365</f>
        <v/>
      </c>
      <c r="M5" s="21">
        <f>H5+J5-L5</f>
        <v/>
      </c>
      <c r="N5" s="11">
        <f>G5/B5</f>
        <v/>
      </c>
      <c r="O5" s="13">
        <f>RANK(H5,$H$3:$H$12,1)</f>
        <v/>
      </c>
      <c r="P5" s="13">
        <f>RANK(J5,$J$3:$J$12,1)</f>
        <v/>
      </c>
      <c r="Q5" s="13">
        <f>RANK(L5,$L$3:$L$12,0)</f>
        <v/>
      </c>
      <c r="R5" s="13">
        <f>RANK(M5,$M$3:$M$12,1)</f>
        <v/>
      </c>
    </row>
    <row r="6">
      <c r="A6" s="14">
        <f>Raw_Data!A6</f>
        <v/>
      </c>
      <c r="B6" s="7">
        <f>Raw_Data!B6</f>
        <v/>
      </c>
      <c r="C6" s="7">
        <f>Raw_Data!C6</f>
        <v/>
      </c>
      <c r="D6" s="7">
        <f>Raw_Data!D6</f>
        <v/>
      </c>
      <c r="E6" s="7">
        <f>Raw_Data!E6</f>
        <v/>
      </c>
      <c r="F6" s="7">
        <f>Raw_Data!H6</f>
        <v/>
      </c>
      <c r="G6" s="7">
        <f>Raw_Data!J6</f>
        <v/>
      </c>
      <c r="H6" s="22">
        <f>D6/B6*365</f>
        <v/>
      </c>
      <c r="I6" s="22">
        <f>B6/D6</f>
        <v/>
      </c>
      <c r="J6" s="22">
        <f>E6/C6*365</f>
        <v/>
      </c>
      <c r="K6" s="22">
        <f>C6/E6</f>
        <v/>
      </c>
      <c r="L6" s="22">
        <f>F6/C6*365</f>
        <v/>
      </c>
      <c r="M6" s="22">
        <f>H6+J6-L6</f>
        <v/>
      </c>
      <c r="N6" s="15">
        <f>G6/B6</f>
        <v/>
      </c>
      <c r="O6" s="17">
        <f>RANK(H6,$H$3:$H$12,1)</f>
        <v/>
      </c>
      <c r="P6" s="17">
        <f>RANK(J6,$J$3:$J$12,1)</f>
        <v/>
      </c>
      <c r="Q6" s="17">
        <f>RANK(L6,$L$3:$L$12,0)</f>
        <v/>
      </c>
      <c r="R6" s="17">
        <f>RANK(M6,$M$3:$M$12,1)</f>
        <v/>
      </c>
    </row>
    <row r="7">
      <c r="A7" s="10">
        <f>Raw_Data!A7</f>
        <v/>
      </c>
      <c r="B7" s="4">
        <f>Raw_Data!B7</f>
        <v/>
      </c>
      <c r="C7" s="4">
        <f>Raw_Data!C7</f>
        <v/>
      </c>
      <c r="D7" s="4">
        <f>Raw_Data!D7</f>
        <v/>
      </c>
      <c r="E7" s="4">
        <f>Raw_Data!E7</f>
        <v/>
      </c>
      <c r="F7" s="4">
        <f>Raw_Data!H7</f>
        <v/>
      </c>
      <c r="G7" s="4">
        <f>Raw_Data!J7</f>
        <v/>
      </c>
      <c r="H7" s="21">
        <f>D7/B7*365</f>
        <v/>
      </c>
      <c r="I7" s="21">
        <f>B7/D7</f>
        <v/>
      </c>
      <c r="J7" s="21">
        <f>E7/C7*365</f>
        <v/>
      </c>
      <c r="K7" s="21">
        <f>C7/E7</f>
        <v/>
      </c>
      <c r="L7" s="21">
        <f>F7/C7*365</f>
        <v/>
      </c>
      <c r="M7" s="21">
        <f>H7+J7-L7</f>
        <v/>
      </c>
      <c r="N7" s="11">
        <f>G7/B7</f>
        <v/>
      </c>
      <c r="O7" s="13">
        <f>RANK(H7,$H$3:$H$12,1)</f>
        <v/>
      </c>
      <c r="P7" s="13">
        <f>RANK(J7,$J$3:$J$12,1)</f>
        <v/>
      </c>
      <c r="Q7" s="13">
        <f>RANK(L7,$L$3:$L$12,0)</f>
        <v/>
      </c>
      <c r="R7" s="13">
        <f>RANK(M7,$M$3:$M$12,1)</f>
        <v/>
      </c>
    </row>
    <row r="8">
      <c r="A8" s="14">
        <f>Raw_Data!A8</f>
        <v/>
      </c>
      <c r="B8" s="7">
        <f>Raw_Data!B8</f>
        <v/>
      </c>
      <c r="C8" s="7">
        <f>Raw_Data!C8</f>
        <v/>
      </c>
      <c r="D8" s="7">
        <f>Raw_Data!D8</f>
        <v/>
      </c>
      <c r="E8" s="7">
        <f>Raw_Data!E8</f>
        <v/>
      </c>
      <c r="F8" s="7">
        <f>Raw_Data!H8</f>
        <v/>
      </c>
      <c r="G8" s="7">
        <f>Raw_Data!J8</f>
        <v/>
      </c>
      <c r="H8" s="22">
        <f>D8/B8*365</f>
        <v/>
      </c>
      <c r="I8" s="22">
        <f>B8/D8</f>
        <v/>
      </c>
      <c r="J8" s="22">
        <f>E8/C8*365</f>
        <v/>
      </c>
      <c r="K8" s="22">
        <f>C8/E8</f>
        <v/>
      </c>
      <c r="L8" s="22">
        <f>F8/C8*365</f>
        <v/>
      </c>
      <c r="M8" s="22">
        <f>H8+J8-L8</f>
        <v/>
      </c>
      <c r="N8" s="15">
        <f>G8/B8</f>
        <v/>
      </c>
      <c r="O8" s="17">
        <f>RANK(H8,$H$3:$H$12,1)</f>
        <v/>
      </c>
      <c r="P8" s="17">
        <f>RANK(J8,$J$3:$J$12,1)</f>
        <v/>
      </c>
      <c r="Q8" s="17">
        <f>RANK(L8,$L$3:$L$12,0)</f>
        <v/>
      </c>
      <c r="R8" s="17">
        <f>RANK(M8,$M$3:$M$12,1)</f>
        <v/>
      </c>
    </row>
    <row r="9">
      <c r="A9" s="10">
        <f>Raw_Data!A9</f>
        <v/>
      </c>
      <c r="B9" s="4">
        <f>Raw_Data!B9</f>
        <v/>
      </c>
      <c r="C9" s="4">
        <f>Raw_Data!C9</f>
        <v/>
      </c>
      <c r="D9" s="4">
        <f>Raw_Data!D9</f>
        <v/>
      </c>
      <c r="E9" s="4">
        <f>Raw_Data!E9</f>
        <v/>
      </c>
      <c r="F9" s="4">
        <f>Raw_Data!H9</f>
        <v/>
      </c>
      <c r="G9" s="4">
        <f>Raw_Data!J9</f>
        <v/>
      </c>
      <c r="H9" s="21">
        <f>D9/B9*365</f>
        <v/>
      </c>
      <c r="I9" s="21">
        <f>B9/D9</f>
        <v/>
      </c>
      <c r="J9" s="21">
        <f>E9/C9*365</f>
        <v/>
      </c>
      <c r="K9" s="21">
        <f>C9/E9</f>
        <v/>
      </c>
      <c r="L9" s="21">
        <f>F9/C9*365</f>
        <v/>
      </c>
      <c r="M9" s="21">
        <f>H9+J9-L9</f>
        <v/>
      </c>
      <c r="N9" s="11">
        <f>G9/B9</f>
        <v/>
      </c>
      <c r="O9" s="13">
        <f>RANK(H9,$H$3:$H$12,1)</f>
        <v/>
      </c>
      <c r="P9" s="13">
        <f>RANK(J9,$J$3:$J$12,1)</f>
        <v/>
      </c>
      <c r="Q9" s="13">
        <f>RANK(L9,$L$3:$L$12,0)</f>
        <v/>
      </c>
      <c r="R9" s="13">
        <f>RANK(M9,$M$3:$M$12,1)</f>
        <v/>
      </c>
    </row>
    <row r="10">
      <c r="A10" s="14">
        <f>Raw_Data!A10</f>
        <v/>
      </c>
      <c r="B10" s="7">
        <f>Raw_Data!B10</f>
        <v/>
      </c>
      <c r="C10" s="7">
        <f>Raw_Data!C10</f>
        <v/>
      </c>
      <c r="D10" s="7">
        <f>Raw_Data!D10</f>
        <v/>
      </c>
      <c r="E10" s="7">
        <f>Raw_Data!E10</f>
        <v/>
      </c>
      <c r="F10" s="7">
        <f>Raw_Data!H10</f>
        <v/>
      </c>
      <c r="G10" s="7">
        <f>Raw_Data!J10</f>
        <v/>
      </c>
      <c r="H10" s="22">
        <f>D10/B10*365</f>
        <v/>
      </c>
      <c r="I10" s="22">
        <f>B10/D10</f>
        <v/>
      </c>
      <c r="J10" s="22">
        <f>E10/C10*365</f>
        <v/>
      </c>
      <c r="K10" s="22">
        <f>C10/E10</f>
        <v/>
      </c>
      <c r="L10" s="22">
        <f>F10/C10*365</f>
        <v/>
      </c>
      <c r="M10" s="22">
        <f>H10+J10-L10</f>
        <v/>
      </c>
      <c r="N10" s="15">
        <f>G10/B10</f>
        <v/>
      </c>
      <c r="O10" s="17">
        <f>RANK(H10,$H$3:$H$12,1)</f>
        <v/>
      </c>
      <c r="P10" s="17">
        <f>RANK(J10,$J$3:$J$12,1)</f>
        <v/>
      </c>
      <c r="Q10" s="17">
        <f>RANK(L10,$L$3:$L$12,0)</f>
        <v/>
      </c>
      <c r="R10" s="17">
        <f>RANK(M10,$M$3:$M$12,1)</f>
        <v/>
      </c>
    </row>
    <row r="11">
      <c r="A11" s="10">
        <f>Raw_Data!A11</f>
        <v/>
      </c>
      <c r="B11" s="4">
        <f>Raw_Data!B11</f>
        <v/>
      </c>
      <c r="C11" s="4">
        <f>Raw_Data!C11</f>
        <v/>
      </c>
      <c r="D11" s="4">
        <f>Raw_Data!D11</f>
        <v/>
      </c>
      <c r="E11" s="4">
        <f>Raw_Data!E11</f>
        <v/>
      </c>
      <c r="F11" s="4">
        <f>Raw_Data!H11</f>
        <v/>
      </c>
      <c r="G11" s="4">
        <f>Raw_Data!J11</f>
        <v/>
      </c>
      <c r="H11" s="21">
        <f>D11/B11*365</f>
        <v/>
      </c>
      <c r="I11" s="21">
        <f>B11/D11</f>
        <v/>
      </c>
      <c r="J11" s="21">
        <f>E11/C11*365</f>
        <v/>
      </c>
      <c r="K11" s="21">
        <f>C11/E11</f>
        <v/>
      </c>
      <c r="L11" s="21">
        <f>F11/C11*365</f>
        <v/>
      </c>
      <c r="M11" s="21">
        <f>H11+J11-L11</f>
        <v/>
      </c>
      <c r="N11" s="11">
        <f>G11/B11</f>
        <v/>
      </c>
      <c r="O11" s="13">
        <f>RANK(H11,$H$3:$H$12,1)</f>
        <v/>
      </c>
      <c r="P11" s="13">
        <f>RANK(J11,$J$3:$J$12,1)</f>
        <v/>
      </c>
      <c r="Q11" s="13">
        <f>RANK(L11,$L$3:$L$12,0)</f>
        <v/>
      </c>
      <c r="R11" s="13">
        <f>RANK(M11,$M$3:$M$12,1)</f>
        <v/>
      </c>
    </row>
    <row r="12">
      <c r="A12" s="14">
        <f>Raw_Data!A12</f>
        <v/>
      </c>
      <c r="B12" s="7">
        <f>Raw_Data!B12</f>
        <v/>
      </c>
      <c r="C12" s="7">
        <f>Raw_Data!C12</f>
        <v/>
      </c>
      <c r="D12" s="7">
        <f>Raw_Data!D12</f>
        <v/>
      </c>
      <c r="E12" s="7">
        <f>Raw_Data!E12</f>
        <v/>
      </c>
      <c r="F12" s="7">
        <f>Raw_Data!H12</f>
        <v/>
      </c>
      <c r="G12" s="7">
        <f>Raw_Data!J12</f>
        <v/>
      </c>
      <c r="H12" s="22">
        <f>D12/B12*365</f>
        <v/>
      </c>
      <c r="I12" s="22">
        <f>B12/D12</f>
        <v/>
      </c>
      <c r="J12" s="22">
        <f>E12/C12*365</f>
        <v/>
      </c>
      <c r="K12" s="22">
        <f>C12/E12</f>
        <v/>
      </c>
      <c r="L12" s="22">
        <f>F12/C12*365</f>
        <v/>
      </c>
      <c r="M12" s="22">
        <f>H12+J12-L12</f>
        <v/>
      </c>
      <c r="N12" s="15">
        <f>G12/B12</f>
        <v/>
      </c>
      <c r="O12" s="17">
        <f>RANK(H12,$H$3:$H$12,1)</f>
        <v/>
      </c>
      <c r="P12" s="17">
        <f>RANK(J12,$J$3:$J$12,1)</f>
        <v/>
      </c>
      <c r="Q12" s="17">
        <f>RANK(L12,$L$3:$L$12,0)</f>
        <v/>
      </c>
      <c r="R12" s="17">
        <f>RANK(M12,$M$3:$M$12,1)</f>
        <v/>
      </c>
    </row>
    <row r="14">
      <c r="A14" s="18" t="inlineStr">
        <is>
          <t>Best DSO (Min):</t>
        </is>
      </c>
      <c r="H14" s="23">
        <f>MIN(H3:H12)</f>
        <v/>
      </c>
    </row>
    <row r="15">
      <c r="A15" s="18" t="inlineStr">
        <is>
          <t>Best AR Turns (Max):</t>
        </is>
      </c>
      <c r="I15" s="23">
        <f>MAX(I3:I12)</f>
        <v/>
      </c>
    </row>
    <row r="16">
      <c r="A16" s="18" t="inlineStr">
        <is>
          <t>Best DIO (Min):</t>
        </is>
      </c>
      <c r="J16" s="23">
        <f>MIN(J3:J12)</f>
        <v/>
      </c>
    </row>
    <row r="17">
      <c r="A17" s="18" t="inlineStr">
        <is>
          <t>Best Inv Turns (Max):</t>
        </is>
      </c>
      <c r="K17" s="23">
        <f>MAX(K3:K12)</f>
        <v/>
      </c>
    </row>
    <row r="18">
      <c r="A18" s="18" t="inlineStr">
        <is>
          <t>Best DPO (Max):</t>
        </is>
      </c>
      <c r="L18" s="23">
        <f>MAX(L3:L12)</f>
        <v/>
      </c>
    </row>
    <row r="19">
      <c r="A19" s="18" t="inlineStr">
        <is>
          <t>Best CCC (Min):</t>
        </is>
      </c>
      <c r="M19" s="23">
        <f>MIN(M3:M12)</f>
        <v/>
      </c>
    </row>
    <row r="20">
      <c r="A20" s="18" t="inlineStr">
        <is>
          <t>Best CRR (Max):</t>
        </is>
      </c>
      <c r="N20" s="19">
        <f>MAX(N3:N12)</f>
        <v/>
      </c>
    </row>
    <row r="21">
      <c r="A21" s="9" t="inlineStr">
        <is>
          <t>DPO Rank: higher DPO = better (supplier financing). CCC Rank: lower CCC = better. Inv Turns = COGS÷Inventory. AR Turns = Revenue÷AR. CRR = OCF÷Revenue.</t>
        </is>
      </c>
    </row>
  </sheetData>
  <mergeCells count="9">
    <mergeCell ref="A14:G14"/>
    <mergeCell ref="A21:R21"/>
    <mergeCell ref="A17:G17"/>
    <mergeCell ref="A18:G18"/>
    <mergeCell ref="A20:G20"/>
    <mergeCell ref="A16:G16"/>
    <mergeCell ref="A1:R1"/>
    <mergeCell ref="A15:G15"/>
    <mergeCell ref="A19:G1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6" customWidth="1" min="8" max="8"/>
    <col width="12" customWidth="1" min="9" max="9"/>
    <col width="12" customWidth="1" min="10" max="10"/>
  </cols>
  <sheetData>
    <row r="1" ht="22" customHeight="1">
      <c r="A1" s="1" t="inlineStr">
        <is>
          <t>Overall Scoring Model — Rank-Sum (6 Metrics | Equal Weight | Lower Total Score = Better Overall)</t>
        </is>
      </c>
    </row>
    <row r="2" ht="52" customHeight="1">
      <c r="A2" s="2" t="inlineStr">
        <is>
          <t>Company</t>
        </is>
      </c>
      <c r="B2" s="2" t="inlineStr">
        <is>
          <t>WC/Rev Rank
[WC_NWC!N]</t>
        </is>
      </c>
      <c r="C2" s="2" t="inlineStr">
        <is>
          <t>NWC/Rev Rank
[WC_NWC!O]</t>
        </is>
      </c>
      <c r="D2" s="2" t="inlineStr">
        <is>
          <t>DSO Rank
[Eff!P]</t>
        </is>
      </c>
      <c r="E2" s="2" t="inlineStr">
        <is>
          <t>DIO Rank
[Eff!Q]</t>
        </is>
      </c>
      <c r="F2" s="2" t="inlineStr">
        <is>
          <t>DPO Rank
[Eff!R]</t>
        </is>
      </c>
      <c r="G2" s="2" t="inlineStr">
        <is>
          <t>CCC Rank
[Eff!S]</t>
        </is>
      </c>
      <c r="H2" s="2" t="inlineStr">
        <is>
          <t>Total Score
[=SUM(B:G)]
Lower=Better</t>
        </is>
      </c>
      <c r="I2" s="2" t="inlineStr">
        <is>
          <t>Overall Rank
[=RANK(…)]</t>
        </is>
      </c>
      <c r="J2" s="2" t="inlineStr">
        <is>
          <t>Quartile
[=IF(rank≤2,Q1,…)]</t>
        </is>
      </c>
    </row>
    <row r="3">
      <c r="A3" s="10">
        <f>Raw_Data!A3</f>
        <v/>
      </c>
      <c r="B3" s="13">
        <f>WC_NWC!N3</f>
        <v/>
      </c>
      <c r="C3" s="13">
        <f>WC_NWC!O3</f>
        <v/>
      </c>
      <c r="D3" s="13">
        <f>Efficiency_Metrics!P3</f>
        <v/>
      </c>
      <c r="E3" s="13">
        <f>Efficiency_Metrics!Q3</f>
        <v/>
      </c>
      <c r="F3" s="13">
        <f>Efficiency_Metrics!R3</f>
        <v/>
      </c>
      <c r="G3" s="13">
        <f>Efficiency_Metrics!S3</f>
        <v/>
      </c>
      <c r="H3" s="13">
        <f>SUM(B3:G3)</f>
        <v/>
      </c>
      <c r="I3" s="13">
        <f>RANK(H3,$H$3:$H$12,1)</f>
        <v/>
      </c>
      <c r="J3" s="5">
        <f>IF(I3&lt;=2,"Q1",IF(I3&lt;=5,"Q2",IF(I3&lt;=7,"Q3","Q4")))</f>
        <v/>
      </c>
    </row>
    <row r="4">
      <c r="A4" s="14">
        <f>Raw_Data!A4</f>
        <v/>
      </c>
      <c r="B4" s="17">
        <f>WC_NWC!N4</f>
        <v/>
      </c>
      <c r="C4" s="17">
        <f>WC_NWC!O4</f>
        <v/>
      </c>
      <c r="D4" s="17">
        <f>Efficiency_Metrics!P4</f>
        <v/>
      </c>
      <c r="E4" s="17">
        <f>Efficiency_Metrics!Q4</f>
        <v/>
      </c>
      <c r="F4" s="17">
        <f>Efficiency_Metrics!R4</f>
        <v/>
      </c>
      <c r="G4" s="17">
        <f>Efficiency_Metrics!S4</f>
        <v/>
      </c>
      <c r="H4" s="17">
        <f>SUM(B4:G4)</f>
        <v/>
      </c>
      <c r="I4" s="17">
        <f>RANK(H4,$H$3:$H$12,1)</f>
        <v/>
      </c>
      <c r="J4" s="8">
        <f>IF(I4&lt;=2,"Q1",IF(I4&lt;=5,"Q2",IF(I4&lt;=7,"Q3","Q4")))</f>
        <v/>
      </c>
    </row>
    <row r="5">
      <c r="A5" s="10">
        <f>Raw_Data!A5</f>
        <v/>
      </c>
      <c r="B5" s="13">
        <f>WC_NWC!N5</f>
        <v/>
      </c>
      <c r="C5" s="13">
        <f>WC_NWC!O5</f>
        <v/>
      </c>
      <c r="D5" s="13">
        <f>Efficiency_Metrics!P5</f>
        <v/>
      </c>
      <c r="E5" s="13">
        <f>Efficiency_Metrics!Q5</f>
        <v/>
      </c>
      <c r="F5" s="13">
        <f>Efficiency_Metrics!R5</f>
        <v/>
      </c>
      <c r="G5" s="13">
        <f>Efficiency_Metrics!S5</f>
        <v/>
      </c>
      <c r="H5" s="13">
        <f>SUM(B5:G5)</f>
        <v/>
      </c>
      <c r="I5" s="13">
        <f>RANK(H5,$H$3:$H$12,1)</f>
        <v/>
      </c>
      <c r="J5" s="5">
        <f>IF(I5&lt;=2,"Q1",IF(I5&lt;=5,"Q2",IF(I5&lt;=7,"Q3","Q4")))</f>
        <v/>
      </c>
    </row>
    <row r="6">
      <c r="A6" s="14">
        <f>Raw_Data!A6</f>
        <v/>
      </c>
      <c r="B6" s="17">
        <f>WC_NWC!N6</f>
        <v/>
      </c>
      <c r="C6" s="17">
        <f>WC_NWC!O6</f>
        <v/>
      </c>
      <c r="D6" s="17">
        <f>Efficiency_Metrics!P6</f>
        <v/>
      </c>
      <c r="E6" s="17">
        <f>Efficiency_Metrics!Q6</f>
        <v/>
      </c>
      <c r="F6" s="17">
        <f>Efficiency_Metrics!R6</f>
        <v/>
      </c>
      <c r="G6" s="17">
        <f>Efficiency_Metrics!S6</f>
        <v/>
      </c>
      <c r="H6" s="17">
        <f>SUM(B6:G6)</f>
        <v/>
      </c>
      <c r="I6" s="17">
        <f>RANK(H6,$H$3:$H$12,1)</f>
        <v/>
      </c>
      <c r="J6" s="8">
        <f>IF(I6&lt;=2,"Q1",IF(I6&lt;=5,"Q2",IF(I6&lt;=7,"Q3","Q4")))</f>
        <v/>
      </c>
    </row>
    <row r="7">
      <c r="A7" s="10">
        <f>Raw_Data!A7</f>
        <v/>
      </c>
      <c r="B7" s="13">
        <f>WC_NWC!N7</f>
        <v/>
      </c>
      <c r="C7" s="13">
        <f>WC_NWC!O7</f>
        <v/>
      </c>
      <c r="D7" s="13">
        <f>Efficiency_Metrics!P7</f>
        <v/>
      </c>
      <c r="E7" s="13">
        <f>Efficiency_Metrics!Q7</f>
        <v/>
      </c>
      <c r="F7" s="13">
        <f>Efficiency_Metrics!R7</f>
        <v/>
      </c>
      <c r="G7" s="13">
        <f>Efficiency_Metrics!S7</f>
        <v/>
      </c>
      <c r="H7" s="13">
        <f>SUM(B7:G7)</f>
        <v/>
      </c>
      <c r="I7" s="13">
        <f>RANK(H7,$H$3:$H$12,1)</f>
        <v/>
      </c>
      <c r="J7" s="5">
        <f>IF(I7&lt;=2,"Q1",IF(I7&lt;=5,"Q2",IF(I7&lt;=7,"Q3","Q4")))</f>
        <v/>
      </c>
    </row>
    <row r="8">
      <c r="A8" s="14">
        <f>Raw_Data!A8</f>
        <v/>
      </c>
      <c r="B8" s="17">
        <f>WC_NWC!N8</f>
        <v/>
      </c>
      <c r="C8" s="17">
        <f>WC_NWC!O8</f>
        <v/>
      </c>
      <c r="D8" s="17">
        <f>Efficiency_Metrics!P8</f>
        <v/>
      </c>
      <c r="E8" s="17">
        <f>Efficiency_Metrics!Q8</f>
        <v/>
      </c>
      <c r="F8" s="17">
        <f>Efficiency_Metrics!R8</f>
        <v/>
      </c>
      <c r="G8" s="17">
        <f>Efficiency_Metrics!S8</f>
        <v/>
      </c>
      <c r="H8" s="17">
        <f>SUM(B8:G8)</f>
        <v/>
      </c>
      <c r="I8" s="17">
        <f>RANK(H8,$H$3:$H$12,1)</f>
        <v/>
      </c>
      <c r="J8" s="8">
        <f>IF(I8&lt;=2,"Q1",IF(I8&lt;=5,"Q2",IF(I8&lt;=7,"Q3","Q4")))</f>
        <v/>
      </c>
    </row>
    <row r="9">
      <c r="A9" s="10">
        <f>Raw_Data!A9</f>
        <v/>
      </c>
      <c r="B9" s="13">
        <f>WC_NWC!N9</f>
        <v/>
      </c>
      <c r="C9" s="13">
        <f>WC_NWC!O9</f>
        <v/>
      </c>
      <c r="D9" s="13">
        <f>Efficiency_Metrics!P9</f>
        <v/>
      </c>
      <c r="E9" s="13">
        <f>Efficiency_Metrics!Q9</f>
        <v/>
      </c>
      <c r="F9" s="13">
        <f>Efficiency_Metrics!R9</f>
        <v/>
      </c>
      <c r="G9" s="13">
        <f>Efficiency_Metrics!S9</f>
        <v/>
      </c>
      <c r="H9" s="13">
        <f>SUM(B9:G9)</f>
        <v/>
      </c>
      <c r="I9" s="13">
        <f>RANK(H9,$H$3:$H$12,1)</f>
        <v/>
      </c>
      <c r="J9" s="5">
        <f>IF(I9&lt;=2,"Q1",IF(I9&lt;=5,"Q2",IF(I9&lt;=7,"Q3","Q4")))</f>
        <v/>
      </c>
    </row>
    <row r="10">
      <c r="A10" s="14">
        <f>Raw_Data!A10</f>
        <v/>
      </c>
      <c r="B10" s="17">
        <f>WC_NWC!N10</f>
        <v/>
      </c>
      <c r="C10" s="17">
        <f>WC_NWC!O10</f>
        <v/>
      </c>
      <c r="D10" s="17">
        <f>Efficiency_Metrics!P10</f>
        <v/>
      </c>
      <c r="E10" s="17">
        <f>Efficiency_Metrics!Q10</f>
        <v/>
      </c>
      <c r="F10" s="17">
        <f>Efficiency_Metrics!R10</f>
        <v/>
      </c>
      <c r="G10" s="17">
        <f>Efficiency_Metrics!S10</f>
        <v/>
      </c>
      <c r="H10" s="17">
        <f>SUM(B10:G10)</f>
        <v/>
      </c>
      <c r="I10" s="17">
        <f>RANK(H10,$H$3:$H$12,1)</f>
        <v/>
      </c>
      <c r="J10" s="8">
        <f>IF(I10&lt;=2,"Q1",IF(I10&lt;=5,"Q2",IF(I10&lt;=7,"Q3","Q4")))</f>
        <v/>
      </c>
    </row>
    <row r="11">
      <c r="A11" s="10">
        <f>Raw_Data!A11</f>
        <v/>
      </c>
      <c r="B11" s="13">
        <f>WC_NWC!N11</f>
        <v/>
      </c>
      <c r="C11" s="13">
        <f>WC_NWC!O11</f>
        <v/>
      </c>
      <c r="D11" s="13">
        <f>Efficiency_Metrics!P11</f>
        <v/>
      </c>
      <c r="E11" s="13">
        <f>Efficiency_Metrics!Q11</f>
        <v/>
      </c>
      <c r="F11" s="13">
        <f>Efficiency_Metrics!R11</f>
        <v/>
      </c>
      <c r="G11" s="13">
        <f>Efficiency_Metrics!S11</f>
        <v/>
      </c>
      <c r="H11" s="13">
        <f>SUM(B11:G11)</f>
        <v/>
      </c>
      <c r="I11" s="13">
        <f>RANK(H11,$H$3:$H$12,1)</f>
        <v/>
      </c>
      <c r="J11" s="5">
        <f>IF(I11&lt;=2,"Q1",IF(I11&lt;=5,"Q2",IF(I11&lt;=7,"Q3","Q4")))</f>
        <v/>
      </c>
    </row>
    <row r="12">
      <c r="A12" s="14">
        <f>Raw_Data!A12</f>
        <v/>
      </c>
      <c r="B12" s="17">
        <f>WC_NWC!N12</f>
        <v/>
      </c>
      <c r="C12" s="17">
        <f>WC_NWC!O12</f>
        <v/>
      </c>
      <c r="D12" s="17">
        <f>Efficiency_Metrics!P12</f>
        <v/>
      </c>
      <c r="E12" s="17">
        <f>Efficiency_Metrics!Q12</f>
        <v/>
      </c>
      <c r="F12" s="17">
        <f>Efficiency_Metrics!R12</f>
        <v/>
      </c>
      <c r="G12" s="17">
        <f>Efficiency_Metrics!S12</f>
        <v/>
      </c>
      <c r="H12" s="17">
        <f>SUM(B12:G12)</f>
        <v/>
      </c>
      <c r="I12" s="17">
        <f>RANK(H12,$H$3:$H$12,1)</f>
        <v/>
      </c>
      <c r="J12" s="8">
        <f>IF(I12&lt;=2,"Q1",IF(I12&lt;=5,"Q2",IF(I12&lt;=7,"Q3","Q4")))</f>
        <v/>
      </c>
    </row>
    <row r="14">
      <c r="A14" s="9" t="inlineStr">
        <is>
          <t>AR Turns &amp; Inv Turns excluded (inverse of DSO/DIO → would double-count). 6 metrics: WC/Rev, NWC/Rev, DSO, DIO, DPO, CCC — equal weight. DPO rank flipped so higher DPO = rank 1 (benefit).</t>
        </is>
      </c>
    </row>
  </sheetData>
  <mergeCells count="2">
    <mergeCell ref="A1:J1"/>
    <mergeCell ref="A14:J1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14"/>
  <sheetViews>
    <sheetView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9" customWidth="1" min="3" max="3"/>
    <col width="10" customWidth="1" min="4" max="4"/>
    <col width="12" customWidth="1" min="5" max="5"/>
    <col width="11" customWidth="1" min="6" max="6"/>
    <col width="10" customWidth="1" min="7" max="7"/>
    <col width="12" customWidth="1" min="8" max="8"/>
    <col width="11" customWidth="1" min="9" max="9"/>
    <col width="10" customWidth="1" min="10" max="10"/>
    <col width="12" customWidth="1" min="11" max="11"/>
    <col width="11" customWidth="1" min="12" max="12"/>
    <col width="10" customWidth="1" min="13" max="13"/>
    <col width="12" customWidth="1" min="14" max="14"/>
    <col width="11" customWidth="1" min="15" max="15"/>
    <col width="10" customWidth="1" min="16" max="16"/>
    <col width="13" customWidth="1" min="17" max="17"/>
    <col width="11" customWidth="1" min="18" max="18"/>
  </cols>
  <sheetData>
    <row r="1" ht="22" customHeight="1">
      <c r="A1" s="1" t="inlineStr">
        <is>
          <t>Gap-to-Best-Practice Benchmark Analysis — DSO | DIO | DPO | CCC | NWC/Rev | CRR</t>
        </is>
      </c>
    </row>
    <row r="2" ht="55" customHeight="1">
      <c r="A2" s="2" t="inlineStr">
        <is>
          <t>Company</t>
        </is>
      </c>
      <c r="B2" s="2" t="inlineStr">
        <is>
          <t>Overall
Rank</t>
        </is>
      </c>
      <c r="C2" s="2" t="inlineStr">
        <is>
          <t>Quartile</t>
        </is>
      </c>
      <c r="D2" s="2" t="inlineStr">
        <is>
          <t>DSO
(days)</t>
        </is>
      </c>
      <c r="E2" s="2" t="inlineStr">
        <is>
          <t>Best DSO
[=MIN]</t>
        </is>
      </c>
      <c r="F2" s="2" t="inlineStr">
        <is>
          <t>DSO Gap
[Act–Best]
+ve=worse</t>
        </is>
      </c>
      <c r="G2" s="2" t="inlineStr">
        <is>
          <t>DIO
(days)</t>
        </is>
      </c>
      <c r="H2" s="2" t="inlineStr">
        <is>
          <t>Best DIO
[=MIN]</t>
        </is>
      </c>
      <c r="I2" s="2" t="inlineStr">
        <is>
          <t>DIO Gap
[Act–Best]
+ve=worse</t>
        </is>
      </c>
      <c r="J2" s="2" t="inlineStr">
        <is>
          <t>DPO
(days)</t>
        </is>
      </c>
      <c r="K2" s="2" t="inlineStr">
        <is>
          <t>Best DPO
[=MAX]</t>
        </is>
      </c>
      <c r="L2" s="2" t="inlineStr">
        <is>
          <t>DPO Gap
[Best–Act]
+ve=worse</t>
        </is>
      </c>
      <c r="M2" s="2" t="inlineStr">
        <is>
          <t>CCC
(days)</t>
        </is>
      </c>
      <c r="N2" s="2" t="inlineStr">
        <is>
          <t>Best CCC
[=MIN]</t>
        </is>
      </c>
      <c r="O2" s="2" t="inlineStr">
        <is>
          <t>CCC Gap
[Act–Best]
+ve=worse</t>
        </is>
      </c>
      <c r="P2" s="2" t="inlineStr">
        <is>
          <t>NWC/Rev
(%)</t>
        </is>
      </c>
      <c r="Q2" s="2" t="inlineStr">
        <is>
          <t>Best NWC/Rev
[=MIN]</t>
        </is>
      </c>
      <c r="R2" s="2" t="inlineStr">
        <is>
          <t>NWC Gap
[Act–Best]
+ve=worse</t>
        </is>
      </c>
    </row>
    <row r="3">
      <c r="A3" s="10">
        <f>Raw_Data!A3</f>
        <v/>
      </c>
      <c r="B3" s="13">
        <f>Scoring_Ranking!I3</f>
        <v/>
      </c>
      <c r="C3" s="5">
        <f>Scoring_Ranking!J3</f>
        <v/>
      </c>
      <c r="D3" s="21">
        <f>Efficiency_Metrics!H3</f>
        <v/>
      </c>
      <c r="E3" s="21">
        <f>MIN(Efficiency_Metrics!$H$3:Efficiency_Metrics!$H$12)</f>
        <v/>
      </c>
      <c r="F3" s="21">
        <f>D3-E3</f>
        <v/>
      </c>
      <c r="G3" s="21">
        <f>Efficiency_Metrics!J3</f>
        <v/>
      </c>
      <c r="H3" s="21">
        <f>MIN(Efficiency_Metrics!$J$3:Efficiency_Metrics!$J$12)</f>
        <v/>
      </c>
      <c r="I3" s="21">
        <f>G3-H3</f>
        <v/>
      </c>
      <c r="J3" s="21">
        <f>Efficiency_Metrics!L3</f>
        <v/>
      </c>
      <c r="K3" s="21">
        <f>MAX(Efficiency_Metrics!$L$3:Efficiency_Metrics!$L$12)</f>
        <v/>
      </c>
      <c r="L3" s="21">
        <f>K3-J3</f>
        <v/>
      </c>
      <c r="M3" s="21">
        <f>Efficiency_Metrics!M3</f>
        <v/>
      </c>
      <c r="N3" s="21">
        <f>MIN(Efficiency_Metrics!$M$3:Efficiency_Metrics!$M$12)</f>
        <v/>
      </c>
      <c r="O3" s="21">
        <f>M3-N3</f>
        <v/>
      </c>
      <c r="P3" s="11">
        <f>WC_NWC!K3</f>
        <v/>
      </c>
      <c r="Q3" s="11">
        <f>MIN(WC_NWC!$K$3:WC_NWC!$K$12)</f>
        <v/>
      </c>
      <c r="R3" s="11">
        <f>P3-Q3</f>
        <v/>
      </c>
    </row>
    <row r="4">
      <c r="A4" s="14">
        <f>Raw_Data!A4</f>
        <v/>
      </c>
      <c r="B4" s="17">
        <f>Scoring_Ranking!I4</f>
        <v/>
      </c>
      <c r="C4" s="8">
        <f>Scoring_Ranking!J4</f>
        <v/>
      </c>
      <c r="D4" s="22">
        <f>Efficiency_Metrics!H4</f>
        <v/>
      </c>
      <c r="E4" s="22">
        <f>MIN(Efficiency_Metrics!$H$3:Efficiency_Metrics!$H$12)</f>
        <v/>
      </c>
      <c r="F4" s="22">
        <f>D4-E4</f>
        <v/>
      </c>
      <c r="G4" s="22">
        <f>Efficiency_Metrics!J4</f>
        <v/>
      </c>
      <c r="H4" s="22">
        <f>MIN(Efficiency_Metrics!$J$3:Efficiency_Metrics!$J$12)</f>
        <v/>
      </c>
      <c r="I4" s="22">
        <f>G4-H4</f>
        <v/>
      </c>
      <c r="J4" s="22">
        <f>Efficiency_Metrics!L4</f>
        <v/>
      </c>
      <c r="K4" s="22">
        <f>MAX(Efficiency_Metrics!$L$3:Efficiency_Metrics!$L$12)</f>
        <v/>
      </c>
      <c r="L4" s="22">
        <f>K4-J4</f>
        <v/>
      </c>
      <c r="M4" s="22">
        <f>Efficiency_Metrics!M4</f>
        <v/>
      </c>
      <c r="N4" s="22">
        <f>MIN(Efficiency_Metrics!$M$3:Efficiency_Metrics!$M$12)</f>
        <v/>
      </c>
      <c r="O4" s="22">
        <f>M4-N4</f>
        <v/>
      </c>
      <c r="P4" s="15">
        <f>WC_NWC!K4</f>
        <v/>
      </c>
      <c r="Q4" s="15">
        <f>MIN(WC_NWC!$K$3:WC_NWC!$K$12)</f>
        <v/>
      </c>
      <c r="R4" s="15">
        <f>P4-Q4</f>
        <v/>
      </c>
    </row>
    <row r="5">
      <c r="A5" s="10">
        <f>Raw_Data!A5</f>
        <v/>
      </c>
      <c r="B5" s="13">
        <f>Scoring_Ranking!I5</f>
        <v/>
      </c>
      <c r="C5" s="5">
        <f>Scoring_Ranking!J5</f>
        <v/>
      </c>
      <c r="D5" s="21">
        <f>Efficiency_Metrics!H5</f>
        <v/>
      </c>
      <c r="E5" s="21">
        <f>MIN(Efficiency_Metrics!$H$3:Efficiency_Metrics!$H$12)</f>
        <v/>
      </c>
      <c r="F5" s="21">
        <f>D5-E5</f>
        <v/>
      </c>
      <c r="G5" s="21">
        <f>Efficiency_Metrics!J5</f>
        <v/>
      </c>
      <c r="H5" s="21">
        <f>MIN(Efficiency_Metrics!$J$3:Efficiency_Metrics!$J$12)</f>
        <v/>
      </c>
      <c r="I5" s="21">
        <f>G5-H5</f>
        <v/>
      </c>
      <c r="J5" s="21">
        <f>Efficiency_Metrics!L5</f>
        <v/>
      </c>
      <c r="K5" s="21">
        <f>MAX(Efficiency_Metrics!$L$3:Efficiency_Metrics!$L$12)</f>
        <v/>
      </c>
      <c r="L5" s="21">
        <f>K5-J5</f>
        <v/>
      </c>
      <c r="M5" s="21">
        <f>Efficiency_Metrics!M5</f>
        <v/>
      </c>
      <c r="N5" s="21">
        <f>MIN(Efficiency_Metrics!$M$3:Efficiency_Metrics!$M$12)</f>
        <v/>
      </c>
      <c r="O5" s="21">
        <f>M5-N5</f>
        <v/>
      </c>
      <c r="P5" s="11">
        <f>WC_NWC!K5</f>
        <v/>
      </c>
      <c r="Q5" s="11">
        <f>MIN(WC_NWC!$K$3:WC_NWC!$K$12)</f>
        <v/>
      </c>
      <c r="R5" s="11">
        <f>P5-Q5</f>
        <v/>
      </c>
    </row>
    <row r="6">
      <c r="A6" s="14">
        <f>Raw_Data!A6</f>
        <v/>
      </c>
      <c r="B6" s="17">
        <f>Scoring_Ranking!I6</f>
        <v/>
      </c>
      <c r="C6" s="8">
        <f>Scoring_Ranking!J6</f>
        <v/>
      </c>
      <c r="D6" s="22">
        <f>Efficiency_Metrics!H6</f>
        <v/>
      </c>
      <c r="E6" s="22">
        <f>MIN(Efficiency_Metrics!$H$3:Efficiency_Metrics!$H$12)</f>
        <v/>
      </c>
      <c r="F6" s="22">
        <f>D6-E6</f>
        <v/>
      </c>
      <c r="G6" s="22">
        <f>Efficiency_Metrics!J6</f>
        <v/>
      </c>
      <c r="H6" s="22">
        <f>MIN(Efficiency_Metrics!$J$3:Efficiency_Metrics!$J$12)</f>
        <v/>
      </c>
      <c r="I6" s="22">
        <f>G6-H6</f>
        <v/>
      </c>
      <c r="J6" s="22">
        <f>Efficiency_Metrics!L6</f>
        <v/>
      </c>
      <c r="K6" s="22">
        <f>MAX(Efficiency_Metrics!$L$3:Efficiency_Metrics!$L$12)</f>
        <v/>
      </c>
      <c r="L6" s="22">
        <f>K6-J6</f>
        <v/>
      </c>
      <c r="M6" s="22">
        <f>Efficiency_Metrics!M6</f>
        <v/>
      </c>
      <c r="N6" s="22">
        <f>MIN(Efficiency_Metrics!$M$3:Efficiency_Metrics!$M$12)</f>
        <v/>
      </c>
      <c r="O6" s="22">
        <f>M6-N6</f>
        <v/>
      </c>
      <c r="P6" s="15">
        <f>WC_NWC!K6</f>
        <v/>
      </c>
      <c r="Q6" s="15">
        <f>MIN(WC_NWC!$K$3:WC_NWC!$K$12)</f>
        <v/>
      </c>
      <c r="R6" s="15">
        <f>P6-Q6</f>
        <v/>
      </c>
    </row>
    <row r="7">
      <c r="A7" s="10">
        <f>Raw_Data!A7</f>
        <v/>
      </c>
      <c r="B7" s="13">
        <f>Scoring_Ranking!I7</f>
        <v/>
      </c>
      <c r="C7" s="5">
        <f>Scoring_Ranking!J7</f>
        <v/>
      </c>
      <c r="D7" s="21">
        <f>Efficiency_Metrics!H7</f>
        <v/>
      </c>
      <c r="E7" s="21">
        <f>MIN(Efficiency_Metrics!$H$3:Efficiency_Metrics!$H$12)</f>
        <v/>
      </c>
      <c r="F7" s="21">
        <f>D7-E7</f>
        <v/>
      </c>
      <c r="G7" s="21">
        <f>Efficiency_Metrics!J7</f>
        <v/>
      </c>
      <c r="H7" s="21">
        <f>MIN(Efficiency_Metrics!$J$3:Efficiency_Metrics!$J$12)</f>
        <v/>
      </c>
      <c r="I7" s="21">
        <f>G7-H7</f>
        <v/>
      </c>
      <c r="J7" s="21">
        <f>Efficiency_Metrics!L7</f>
        <v/>
      </c>
      <c r="K7" s="21">
        <f>MAX(Efficiency_Metrics!$L$3:Efficiency_Metrics!$L$12)</f>
        <v/>
      </c>
      <c r="L7" s="21">
        <f>K7-J7</f>
        <v/>
      </c>
      <c r="M7" s="21">
        <f>Efficiency_Metrics!M7</f>
        <v/>
      </c>
      <c r="N7" s="21">
        <f>MIN(Efficiency_Metrics!$M$3:Efficiency_Metrics!$M$12)</f>
        <v/>
      </c>
      <c r="O7" s="21">
        <f>M7-N7</f>
        <v/>
      </c>
      <c r="P7" s="11">
        <f>WC_NWC!K7</f>
        <v/>
      </c>
      <c r="Q7" s="11">
        <f>MIN(WC_NWC!$K$3:WC_NWC!$K$12)</f>
        <v/>
      </c>
      <c r="R7" s="11">
        <f>P7-Q7</f>
        <v/>
      </c>
    </row>
    <row r="8">
      <c r="A8" s="14">
        <f>Raw_Data!A8</f>
        <v/>
      </c>
      <c r="B8" s="17">
        <f>Scoring_Ranking!I8</f>
        <v/>
      </c>
      <c r="C8" s="8">
        <f>Scoring_Ranking!J8</f>
        <v/>
      </c>
      <c r="D8" s="22">
        <f>Efficiency_Metrics!H8</f>
        <v/>
      </c>
      <c r="E8" s="22">
        <f>MIN(Efficiency_Metrics!$H$3:Efficiency_Metrics!$H$12)</f>
        <v/>
      </c>
      <c r="F8" s="22">
        <f>D8-E8</f>
        <v/>
      </c>
      <c r="G8" s="22">
        <f>Efficiency_Metrics!J8</f>
        <v/>
      </c>
      <c r="H8" s="22">
        <f>MIN(Efficiency_Metrics!$J$3:Efficiency_Metrics!$J$12)</f>
        <v/>
      </c>
      <c r="I8" s="22">
        <f>G8-H8</f>
        <v/>
      </c>
      <c r="J8" s="22">
        <f>Efficiency_Metrics!L8</f>
        <v/>
      </c>
      <c r="K8" s="22">
        <f>MAX(Efficiency_Metrics!$L$3:Efficiency_Metrics!$L$12)</f>
        <v/>
      </c>
      <c r="L8" s="22">
        <f>K8-J8</f>
        <v/>
      </c>
      <c r="M8" s="22">
        <f>Efficiency_Metrics!M8</f>
        <v/>
      </c>
      <c r="N8" s="22">
        <f>MIN(Efficiency_Metrics!$M$3:Efficiency_Metrics!$M$12)</f>
        <v/>
      </c>
      <c r="O8" s="22">
        <f>M8-N8</f>
        <v/>
      </c>
      <c r="P8" s="15">
        <f>WC_NWC!K8</f>
        <v/>
      </c>
      <c r="Q8" s="15">
        <f>MIN(WC_NWC!$K$3:WC_NWC!$K$12)</f>
        <v/>
      </c>
      <c r="R8" s="15">
        <f>P8-Q8</f>
        <v/>
      </c>
    </row>
    <row r="9">
      <c r="A9" s="10">
        <f>Raw_Data!A9</f>
        <v/>
      </c>
      <c r="B9" s="13">
        <f>Scoring_Ranking!I9</f>
        <v/>
      </c>
      <c r="C9" s="5">
        <f>Scoring_Ranking!J9</f>
        <v/>
      </c>
      <c r="D9" s="21">
        <f>Efficiency_Metrics!H9</f>
        <v/>
      </c>
      <c r="E9" s="21">
        <f>MIN(Efficiency_Metrics!$H$3:Efficiency_Metrics!$H$12)</f>
        <v/>
      </c>
      <c r="F9" s="21">
        <f>D9-E9</f>
        <v/>
      </c>
      <c r="G9" s="21">
        <f>Efficiency_Metrics!J9</f>
        <v/>
      </c>
      <c r="H9" s="21">
        <f>MIN(Efficiency_Metrics!$J$3:Efficiency_Metrics!$J$12)</f>
        <v/>
      </c>
      <c r="I9" s="21">
        <f>G9-H9</f>
        <v/>
      </c>
      <c r="J9" s="21">
        <f>Efficiency_Metrics!L9</f>
        <v/>
      </c>
      <c r="K9" s="21">
        <f>MAX(Efficiency_Metrics!$L$3:Efficiency_Metrics!$L$12)</f>
        <v/>
      </c>
      <c r="L9" s="21">
        <f>K9-J9</f>
        <v/>
      </c>
      <c r="M9" s="21">
        <f>Efficiency_Metrics!M9</f>
        <v/>
      </c>
      <c r="N9" s="21">
        <f>MIN(Efficiency_Metrics!$M$3:Efficiency_Metrics!$M$12)</f>
        <v/>
      </c>
      <c r="O9" s="21">
        <f>M9-N9</f>
        <v/>
      </c>
      <c r="P9" s="11">
        <f>WC_NWC!K9</f>
        <v/>
      </c>
      <c r="Q9" s="11">
        <f>MIN(WC_NWC!$K$3:WC_NWC!$K$12)</f>
        <v/>
      </c>
      <c r="R9" s="11">
        <f>P9-Q9</f>
        <v/>
      </c>
    </row>
    <row r="10">
      <c r="A10" s="14">
        <f>Raw_Data!A10</f>
        <v/>
      </c>
      <c r="B10" s="17">
        <f>Scoring_Ranking!I10</f>
        <v/>
      </c>
      <c r="C10" s="8">
        <f>Scoring_Ranking!J10</f>
        <v/>
      </c>
      <c r="D10" s="22">
        <f>Efficiency_Metrics!H10</f>
        <v/>
      </c>
      <c r="E10" s="22">
        <f>MIN(Efficiency_Metrics!$H$3:Efficiency_Metrics!$H$12)</f>
        <v/>
      </c>
      <c r="F10" s="22">
        <f>D10-E10</f>
        <v/>
      </c>
      <c r="G10" s="22">
        <f>Efficiency_Metrics!J10</f>
        <v/>
      </c>
      <c r="H10" s="22">
        <f>MIN(Efficiency_Metrics!$J$3:Efficiency_Metrics!$J$12)</f>
        <v/>
      </c>
      <c r="I10" s="22">
        <f>G10-H10</f>
        <v/>
      </c>
      <c r="J10" s="22">
        <f>Efficiency_Metrics!L10</f>
        <v/>
      </c>
      <c r="K10" s="22">
        <f>MAX(Efficiency_Metrics!$L$3:Efficiency_Metrics!$L$12)</f>
        <v/>
      </c>
      <c r="L10" s="22">
        <f>K10-J10</f>
        <v/>
      </c>
      <c r="M10" s="22">
        <f>Efficiency_Metrics!M10</f>
        <v/>
      </c>
      <c r="N10" s="22">
        <f>MIN(Efficiency_Metrics!$M$3:Efficiency_Metrics!$M$12)</f>
        <v/>
      </c>
      <c r="O10" s="22">
        <f>M10-N10</f>
        <v/>
      </c>
      <c r="P10" s="15">
        <f>WC_NWC!K10</f>
        <v/>
      </c>
      <c r="Q10" s="15">
        <f>MIN(WC_NWC!$K$3:WC_NWC!$K$12)</f>
        <v/>
      </c>
      <c r="R10" s="15">
        <f>P10-Q10</f>
        <v/>
      </c>
    </row>
    <row r="11">
      <c r="A11" s="10">
        <f>Raw_Data!A11</f>
        <v/>
      </c>
      <c r="B11" s="13">
        <f>Scoring_Ranking!I11</f>
        <v/>
      </c>
      <c r="C11" s="5">
        <f>Scoring_Ranking!J11</f>
        <v/>
      </c>
      <c r="D11" s="21">
        <f>Efficiency_Metrics!H11</f>
        <v/>
      </c>
      <c r="E11" s="21">
        <f>MIN(Efficiency_Metrics!$H$3:Efficiency_Metrics!$H$12)</f>
        <v/>
      </c>
      <c r="F11" s="21">
        <f>D11-E11</f>
        <v/>
      </c>
      <c r="G11" s="21">
        <f>Efficiency_Metrics!J11</f>
        <v/>
      </c>
      <c r="H11" s="21">
        <f>MIN(Efficiency_Metrics!$J$3:Efficiency_Metrics!$J$12)</f>
        <v/>
      </c>
      <c r="I11" s="21">
        <f>G11-H11</f>
        <v/>
      </c>
      <c r="J11" s="21">
        <f>Efficiency_Metrics!L11</f>
        <v/>
      </c>
      <c r="K11" s="21">
        <f>MAX(Efficiency_Metrics!$L$3:Efficiency_Metrics!$L$12)</f>
        <v/>
      </c>
      <c r="L11" s="21">
        <f>K11-J11</f>
        <v/>
      </c>
      <c r="M11" s="21">
        <f>Efficiency_Metrics!M11</f>
        <v/>
      </c>
      <c r="N11" s="21">
        <f>MIN(Efficiency_Metrics!$M$3:Efficiency_Metrics!$M$12)</f>
        <v/>
      </c>
      <c r="O11" s="21">
        <f>M11-N11</f>
        <v/>
      </c>
      <c r="P11" s="11">
        <f>WC_NWC!K11</f>
        <v/>
      </c>
      <c r="Q11" s="11">
        <f>MIN(WC_NWC!$K$3:WC_NWC!$K$12)</f>
        <v/>
      </c>
      <c r="R11" s="11">
        <f>P11-Q11</f>
        <v/>
      </c>
    </row>
    <row r="12">
      <c r="A12" s="14">
        <f>Raw_Data!A12</f>
        <v/>
      </c>
      <c r="B12" s="17">
        <f>Scoring_Ranking!I12</f>
        <v/>
      </c>
      <c r="C12" s="8">
        <f>Scoring_Ranking!J12</f>
        <v/>
      </c>
      <c r="D12" s="22">
        <f>Efficiency_Metrics!H12</f>
        <v/>
      </c>
      <c r="E12" s="22">
        <f>MIN(Efficiency_Metrics!$H$3:Efficiency_Metrics!$H$12)</f>
        <v/>
      </c>
      <c r="F12" s="22">
        <f>D12-E12</f>
        <v/>
      </c>
      <c r="G12" s="22">
        <f>Efficiency_Metrics!J12</f>
        <v/>
      </c>
      <c r="H12" s="22">
        <f>MIN(Efficiency_Metrics!$J$3:Efficiency_Metrics!$J$12)</f>
        <v/>
      </c>
      <c r="I12" s="22">
        <f>G12-H12</f>
        <v/>
      </c>
      <c r="J12" s="22">
        <f>Efficiency_Metrics!L12</f>
        <v/>
      </c>
      <c r="K12" s="22">
        <f>MAX(Efficiency_Metrics!$L$3:Efficiency_Metrics!$L$12)</f>
        <v/>
      </c>
      <c r="L12" s="22">
        <f>K12-J12</f>
        <v/>
      </c>
      <c r="M12" s="22">
        <f>Efficiency_Metrics!M12</f>
        <v/>
      </c>
      <c r="N12" s="22">
        <f>MIN(Efficiency_Metrics!$M$3:Efficiency_Metrics!$M$12)</f>
        <v/>
      </c>
      <c r="O12" s="22">
        <f>M12-N12</f>
        <v/>
      </c>
      <c r="P12" s="15">
        <f>WC_NWC!K12</f>
        <v/>
      </c>
      <c r="Q12" s="15">
        <f>MIN(WC_NWC!$K$3:WC_NWC!$K$12)</f>
        <v/>
      </c>
      <c r="R12" s="15">
        <f>P12-Q12</f>
        <v/>
      </c>
    </row>
    <row r="14">
      <c r="A14" s="9" t="inlineStr">
        <is>
          <t>DSO/DIO/CCC gap: positive = company is WORSE than best practice. DPO gap: positive = company is paying suppliers FASTER than best practice (cash disadvantage). All best-practice values are dynamic MIN/MAX across the peer group.</t>
        </is>
      </c>
    </row>
  </sheetData>
  <mergeCells count="2">
    <mergeCell ref="A14:R14"/>
    <mergeCell ref="A1:R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17"/>
  <sheetViews>
    <sheetView workbookViewId="0">
      <selection activeCell="A1" sqref="A1"/>
    </sheetView>
  </sheetViews>
  <sheetFormatPr baseColWidth="8" defaultRowHeight="15"/>
  <cols>
    <col width="22" customWidth="1" min="1" max="1"/>
    <col width="9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4" customWidth="1" min="9" max="9"/>
    <col width="12" customWidth="1" min="10" max="10"/>
    <col width="12" customWidth="1" min="11" max="11"/>
    <col width="12" customWidth="1" min="12" max="12"/>
    <col width="12" customWidth="1" min="13" max="13"/>
    <col width="14" customWidth="1" min="14" max="14"/>
    <col width="12" customWidth="1" min="15" max="15"/>
    <col width="12" customWidth="1" min="16" max="16"/>
    <col width="12" customWidth="1" min="17" max="17"/>
    <col width="12" customWidth="1" min="18" max="18"/>
    <col width="14" customWidth="1" min="19" max="19"/>
    <col width="15" customWidth="1" min="20" max="20"/>
  </cols>
  <sheetData>
    <row r="1" ht="22" customHeight="1">
      <c r="A1" s="1" t="inlineStr">
        <is>
          <t>Cash Release Potential — AR | Inventory | AP — All formulas dynamic (Target = 2nd-Best Peer)</t>
        </is>
      </c>
    </row>
    <row r="2" ht="60" customHeight="1">
      <c r="A2" s="2" t="inlineStr">
        <is>
          <t>Company</t>
        </is>
      </c>
      <c r="B2" s="2" t="inlineStr">
        <is>
          <t>Quartile</t>
        </is>
      </c>
      <c r="C2" s="2" t="inlineStr">
        <is>
          <t>Revenue
($M)</t>
        </is>
      </c>
      <c r="D2" s="2" t="inlineStr">
        <is>
          <t>COGS
($M)</t>
        </is>
      </c>
      <c r="E2" s="2" t="inlineStr">
        <is>
          <t>Current AR
($M)</t>
        </is>
      </c>
      <c r="F2" s="2" t="inlineStr">
        <is>
          <t>Current DSO
(days)</t>
        </is>
      </c>
      <c r="G2" s="2" t="inlineStr">
        <is>
          <t>Target DSO
[=SMALL(…,2)]</t>
        </is>
      </c>
      <c r="H2" s="2" t="inlineStr">
        <is>
          <t>Target AR
[=Rev÷365×TgtDSO]</t>
        </is>
      </c>
      <c r="I2" s="2" t="inlineStr">
        <is>
          <t>AR Cash
Release
[=MAX(AR–TgtAR,0)]</t>
        </is>
      </c>
      <c r="J2" s="2" t="inlineStr">
        <is>
          <t>Current Inv
($M)</t>
        </is>
      </c>
      <c r="K2" s="2" t="inlineStr">
        <is>
          <t>Current DIO
(days)</t>
        </is>
      </c>
      <c r="L2" s="2" t="inlineStr">
        <is>
          <t>Target DIO
[=SMALL(…,2)]</t>
        </is>
      </c>
      <c r="M2" s="2" t="inlineStr">
        <is>
          <t>Target Inv
[=COGS÷365×TgtDIO]</t>
        </is>
      </c>
      <c r="N2" s="2" t="inlineStr">
        <is>
          <t>Inv Cash
Release
[=MAX(Inv–TgtInv,0)]</t>
        </is>
      </c>
      <c r="O2" s="2" t="inlineStr">
        <is>
          <t>Current AP
($M)</t>
        </is>
      </c>
      <c r="P2" s="2" t="inlineStr">
        <is>
          <t>Current DPO
(days)</t>
        </is>
      </c>
      <c r="Q2" s="2" t="inlineStr">
        <is>
          <t>Target DPO
[=LARGE(…,2)]</t>
        </is>
      </c>
      <c r="R2" s="2" t="inlineStr">
        <is>
          <t>Target AP
[=COGS÷365×TgtDPO]</t>
        </is>
      </c>
      <c r="S2" s="2" t="inlineStr">
        <is>
          <t>AP Cash
Release
[=MAX(TgtAP–AP,0)]
(extend terms)</t>
        </is>
      </c>
      <c r="T2" s="2" t="inlineStr">
        <is>
          <t>TOTAL Cash
Release
[=AR+Inv+AP]
($M)</t>
        </is>
      </c>
    </row>
    <row r="3">
      <c r="A3" s="10">
        <f>Raw_Data!A3</f>
        <v/>
      </c>
      <c r="B3" s="5">
        <f>Scoring_Ranking!J3</f>
        <v/>
      </c>
      <c r="C3" s="4">
        <f>Raw_Data!B3</f>
        <v/>
      </c>
      <c r="D3" s="4">
        <f>Raw_Data!C3</f>
        <v/>
      </c>
      <c r="E3" s="4">
        <f>Raw_Data!D3</f>
        <v/>
      </c>
      <c r="F3" s="21">
        <f>Efficiency_Metrics!H3</f>
        <v/>
      </c>
      <c r="G3" s="21">
        <f>SMALL(Efficiency_Metrics!$H$3:Efficiency_Metrics!$H$12,2)</f>
        <v/>
      </c>
      <c r="H3" s="4">
        <f>C3/365*G3</f>
        <v/>
      </c>
      <c r="I3" s="4">
        <f>MAX(E3-H3,0)</f>
        <v/>
      </c>
      <c r="J3" s="4">
        <f>Raw_Data!E3</f>
        <v/>
      </c>
      <c r="K3" s="21">
        <f>Efficiency_Metrics!J3</f>
        <v/>
      </c>
      <c r="L3" s="21">
        <f>SMALL(Efficiency_Metrics!$J$3:Efficiency_Metrics!$J$12,2)</f>
        <v/>
      </c>
      <c r="M3" s="4">
        <f>D3/365*L3</f>
        <v/>
      </c>
      <c r="N3" s="4">
        <f>MAX(J3-M3,0)</f>
        <v/>
      </c>
      <c r="O3" s="4">
        <f>Raw_Data!H3</f>
        <v/>
      </c>
      <c r="P3" s="21">
        <f>Efficiency_Metrics!L3</f>
        <v/>
      </c>
      <c r="Q3" s="21">
        <f>LARGE(Efficiency_Metrics!$L$3:Efficiency_Metrics!$L$12,2)</f>
        <v/>
      </c>
      <c r="R3" s="4">
        <f>D3/365*Q3</f>
        <v/>
      </c>
      <c r="S3" s="4">
        <f>MAX(R3-O3,0)</f>
        <v/>
      </c>
      <c r="T3" s="4">
        <f>I3+N3+S3</f>
        <v/>
      </c>
    </row>
    <row r="4">
      <c r="A4" s="14">
        <f>Raw_Data!A4</f>
        <v/>
      </c>
      <c r="B4" s="8">
        <f>Scoring_Ranking!J4</f>
        <v/>
      </c>
      <c r="C4" s="7">
        <f>Raw_Data!B4</f>
        <v/>
      </c>
      <c r="D4" s="7">
        <f>Raw_Data!C4</f>
        <v/>
      </c>
      <c r="E4" s="7">
        <f>Raw_Data!D4</f>
        <v/>
      </c>
      <c r="F4" s="22">
        <f>Efficiency_Metrics!H4</f>
        <v/>
      </c>
      <c r="G4" s="22">
        <f>SMALL(Efficiency_Metrics!$H$3:Efficiency_Metrics!$H$12,2)</f>
        <v/>
      </c>
      <c r="H4" s="7">
        <f>C4/365*G4</f>
        <v/>
      </c>
      <c r="I4" s="7">
        <f>MAX(E4-H4,0)</f>
        <v/>
      </c>
      <c r="J4" s="7">
        <f>Raw_Data!E4</f>
        <v/>
      </c>
      <c r="K4" s="22">
        <f>Efficiency_Metrics!J4</f>
        <v/>
      </c>
      <c r="L4" s="22">
        <f>SMALL(Efficiency_Metrics!$J$3:Efficiency_Metrics!$J$12,2)</f>
        <v/>
      </c>
      <c r="M4" s="7">
        <f>D4/365*L4</f>
        <v/>
      </c>
      <c r="N4" s="7">
        <f>MAX(J4-M4,0)</f>
        <v/>
      </c>
      <c r="O4" s="7">
        <f>Raw_Data!H4</f>
        <v/>
      </c>
      <c r="P4" s="22">
        <f>Efficiency_Metrics!L4</f>
        <v/>
      </c>
      <c r="Q4" s="22">
        <f>LARGE(Efficiency_Metrics!$L$3:Efficiency_Metrics!$L$12,2)</f>
        <v/>
      </c>
      <c r="R4" s="7">
        <f>D4/365*Q4</f>
        <v/>
      </c>
      <c r="S4" s="7">
        <f>MAX(R4-O4,0)</f>
        <v/>
      </c>
      <c r="T4" s="7">
        <f>I4+N4+S4</f>
        <v/>
      </c>
    </row>
    <row r="5">
      <c r="A5" s="10">
        <f>Raw_Data!A5</f>
        <v/>
      </c>
      <c r="B5" s="5">
        <f>Scoring_Ranking!J5</f>
        <v/>
      </c>
      <c r="C5" s="4">
        <f>Raw_Data!B5</f>
        <v/>
      </c>
      <c r="D5" s="4">
        <f>Raw_Data!C5</f>
        <v/>
      </c>
      <c r="E5" s="4">
        <f>Raw_Data!D5</f>
        <v/>
      </c>
      <c r="F5" s="21">
        <f>Efficiency_Metrics!H5</f>
        <v/>
      </c>
      <c r="G5" s="21">
        <f>SMALL(Efficiency_Metrics!$H$3:Efficiency_Metrics!$H$12,2)</f>
        <v/>
      </c>
      <c r="H5" s="4">
        <f>C5/365*G5</f>
        <v/>
      </c>
      <c r="I5" s="4">
        <f>MAX(E5-H5,0)</f>
        <v/>
      </c>
      <c r="J5" s="4">
        <f>Raw_Data!E5</f>
        <v/>
      </c>
      <c r="K5" s="21">
        <f>Efficiency_Metrics!J5</f>
        <v/>
      </c>
      <c r="L5" s="21">
        <f>SMALL(Efficiency_Metrics!$J$3:Efficiency_Metrics!$J$12,2)</f>
        <v/>
      </c>
      <c r="M5" s="4">
        <f>D5/365*L5</f>
        <v/>
      </c>
      <c r="N5" s="4">
        <f>MAX(J5-M5,0)</f>
        <v/>
      </c>
      <c r="O5" s="4">
        <f>Raw_Data!H5</f>
        <v/>
      </c>
      <c r="P5" s="21">
        <f>Efficiency_Metrics!L5</f>
        <v/>
      </c>
      <c r="Q5" s="21">
        <f>LARGE(Efficiency_Metrics!$L$3:Efficiency_Metrics!$L$12,2)</f>
        <v/>
      </c>
      <c r="R5" s="4">
        <f>D5/365*Q5</f>
        <v/>
      </c>
      <c r="S5" s="4">
        <f>MAX(R5-O5,0)</f>
        <v/>
      </c>
      <c r="T5" s="4">
        <f>I5+N5+S5</f>
        <v/>
      </c>
    </row>
    <row r="6">
      <c r="A6" s="14">
        <f>Raw_Data!A6</f>
        <v/>
      </c>
      <c r="B6" s="8">
        <f>Scoring_Ranking!J6</f>
        <v/>
      </c>
      <c r="C6" s="7">
        <f>Raw_Data!B6</f>
        <v/>
      </c>
      <c r="D6" s="7">
        <f>Raw_Data!C6</f>
        <v/>
      </c>
      <c r="E6" s="7">
        <f>Raw_Data!D6</f>
        <v/>
      </c>
      <c r="F6" s="22">
        <f>Efficiency_Metrics!H6</f>
        <v/>
      </c>
      <c r="G6" s="22">
        <f>SMALL(Efficiency_Metrics!$H$3:Efficiency_Metrics!$H$12,2)</f>
        <v/>
      </c>
      <c r="H6" s="7">
        <f>C6/365*G6</f>
        <v/>
      </c>
      <c r="I6" s="7">
        <f>MAX(E6-H6,0)</f>
        <v/>
      </c>
      <c r="J6" s="7">
        <f>Raw_Data!E6</f>
        <v/>
      </c>
      <c r="K6" s="22">
        <f>Efficiency_Metrics!J6</f>
        <v/>
      </c>
      <c r="L6" s="22">
        <f>SMALL(Efficiency_Metrics!$J$3:Efficiency_Metrics!$J$12,2)</f>
        <v/>
      </c>
      <c r="M6" s="7">
        <f>D6/365*L6</f>
        <v/>
      </c>
      <c r="N6" s="7">
        <f>MAX(J6-M6,0)</f>
        <v/>
      </c>
      <c r="O6" s="7">
        <f>Raw_Data!H6</f>
        <v/>
      </c>
      <c r="P6" s="22">
        <f>Efficiency_Metrics!L6</f>
        <v/>
      </c>
      <c r="Q6" s="22">
        <f>LARGE(Efficiency_Metrics!$L$3:Efficiency_Metrics!$L$12,2)</f>
        <v/>
      </c>
      <c r="R6" s="7">
        <f>D6/365*Q6</f>
        <v/>
      </c>
      <c r="S6" s="7">
        <f>MAX(R6-O6,0)</f>
        <v/>
      </c>
      <c r="T6" s="7">
        <f>I6+N6+S6</f>
        <v/>
      </c>
    </row>
    <row r="7">
      <c r="A7" s="10">
        <f>Raw_Data!A7</f>
        <v/>
      </c>
      <c r="B7" s="5">
        <f>Scoring_Ranking!J7</f>
        <v/>
      </c>
      <c r="C7" s="4">
        <f>Raw_Data!B7</f>
        <v/>
      </c>
      <c r="D7" s="4">
        <f>Raw_Data!C7</f>
        <v/>
      </c>
      <c r="E7" s="4">
        <f>Raw_Data!D7</f>
        <v/>
      </c>
      <c r="F7" s="21">
        <f>Efficiency_Metrics!H7</f>
        <v/>
      </c>
      <c r="G7" s="21">
        <f>SMALL(Efficiency_Metrics!$H$3:Efficiency_Metrics!$H$12,2)</f>
        <v/>
      </c>
      <c r="H7" s="4">
        <f>C7/365*G7</f>
        <v/>
      </c>
      <c r="I7" s="4">
        <f>MAX(E7-H7,0)</f>
        <v/>
      </c>
      <c r="J7" s="4">
        <f>Raw_Data!E7</f>
        <v/>
      </c>
      <c r="K7" s="21">
        <f>Efficiency_Metrics!J7</f>
        <v/>
      </c>
      <c r="L7" s="21">
        <f>SMALL(Efficiency_Metrics!$J$3:Efficiency_Metrics!$J$12,2)</f>
        <v/>
      </c>
      <c r="M7" s="4">
        <f>D7/365*L7</f>
        <v/>
      </c>
      <c r="N7" s="4">
        <f>MAX(J7-M7,0)</f>
        <v/>
      </c>
      <c r="O7" s="4">
        <f>Raw_Data!H7</f>
        <v/>
      </c>
      <c r="P7" s="21">
        <f>Efficiency_Metrics!L7</f>
        <v/>
      </c>
      <c r="Q7" s="21">
        <f>LARGE(Efficiency_Metrics!$L$3:Efficiency_Metrics!$L$12,2)</f>
        <v/>
      </c>
      <c r="R7" s="4">
        <f>D7/365*Q7</f>
        <v/>
      </c>
      <c r="S7" s="4">
        <f>MAX(R7-O7,0)</f>
        <v/>
      </c>
      <c r="T7" s="4">
        <f>I7+N7+S7</f>
        <v/>
      </c>
    </row>
    <row r="8">
      <c r="A8" s="14">
        <f>Raw_Data!A8</f>
        <v/>
      </c>
      <c r="B8" s="8">
        <f>Scoring_Ranking!J8</f>
        <v/>
      </c>
      <c r="C8" s="7">
        <f>Raw_Data!B8</f>
        <v/>
      </c>
      <c r="D8" s="7">
        <f>Raw_Data!C8</f>
        <v/>
      </c>
      <c r="E8" s="7">
        <f>Raw_Data!D8</f>
        <v/>
      </c>
      <c r="F8" s="22">
        <f>Efficiency_Metrics!H8</f>
        <v/>
      </c>
      <c r="G8" s="22">
        <f>SMALL(Efficiency_Metrics!$H$3:Efficiency_Metrics!$H$12,2)</f>
        <v/>
      </c>
      <c r="H8" s="7">
        <f>C8/365*G8</f>
        <v/>
      </c>
      <c r="I8" s="7">
        <f>MAX(E8-H8,0)</f>
        <v/>
      </c>
      <c r="J8" s="7">
        <f>Raw_Data!E8</f>
        <v/>
      </c>
      <c r="K8" s="22">
        <f>Efficiency_Metrics!J8</f>
        <v/>
      </c>
      <c r="L8" s="22">
        <f>SMALL(Efficiency_Metrics!$J$3:Efficiency_Metrics!$J$12,2)</f>
        <v/>
      </c>
      <c r="M8" s="7">
        <f>D8/365*L8</f>
        <v/>
      </c>
      <c r="N8" s="7">
        <f>MAX(J8-M8,0)</f>
        <v/>
      </c>
      <c r="O8" s="7">
        <f>Raw_Data!H8</f>
        <v/>
      </c>
      <c r="P8" s="22">
        <f>Efficiency_Metrics!L8</f>
        <v/>
      </c>
      <c r="Q8" s="22">
        <f>LARGE(Efficiency_Metrics!$L$3:Efficiency_Metrics!$L$12,2)</f>
        <v/>
      </c>
      <c r="R8" s="7">
        <f>D8/365*Q8</f>
        <v/>
      </c>
      <c r="S8" s="7">
        <f>MAX(R8-O8,0)</f>
        <v/>
      </c>
      <c r="T8" s="7">
        <f>I8+N8+S8</f>
        <v/>
      </c>
    </row>
    <row r="9">
      <c r="A9" s="10">
        <f>Raw_Data!A9</f>
        <v/>
      </c>
      <c r="B9" s="5">
        <f>Scoring_Ranking!J9</f>
        <v/>
      </c>
      <c r="C9" s="4">
        <f>Raw_Data!B9</f>
        <v/>
      </c>
      <c r="D9" s="4">
        <f>Raw_Data!C9</f>
        <v/>
      </c>
      <c r="E9" s="4">
        <f>Raw_Data!D9</f>
        <v/>
      </c>
      <c r="F9" s="21">
        <f>Efficiency_Metrics!H9</f>
        <v/>
      </c>
      <c r="G9" s="21">
        <f>SMALL(Efficiency_Metrics!$H$3:Efficiency_Metrics!$H$12,2)</f>
        <v/>
      </c>
      <c r="H9" s="4">
        <f>C9/365*G9</f>
        <v/>
      </c>
      <c r="I9" s="4">
        <f>MAX(E9-H9,0)</f>
        <v/>
      </c>
      <c r="J9" s="4">
        <f>Raw_Data!E9</f>
        <v/>
      </c>
      <c r="K9" s="21">
        <f>Efficiency_Metrics!J9</f>
        <v/>
      </c>
      <c r="L9" s="21">
        <f>SMALL(Efficiency_Metrics!$J$3:Efficiency_Metrics!$J$12,2)</f>
        <v/>
      </c>
      <c r="M9" s="4">
        <f>D9/365*L9</f>
        <v/>
      </c>
      <c r="N9" s="4">
        <f>MAX(J9-M9,0)</f>
        <v/>
      </c>
      <c r="O9" s="4">
        <f>Raw_Data!H9</f>
        <v/>
      </c>
      <c r="P9" s="21">
        <f>Efficiency_Metrics!L9</f>
        <v/>
      </c>
      <c r="Q9" s="21">
        <f>LARGE(Efficiency_Metrics!$L$3:Efficiency_Metrics!$L$12,2)</f>
        <v/>
      </c>
      <c r="R9" s="4">
        <f>D9/365*Q9</f>
        <v/>
      </c>
      <c r="S9" s="4">
        <f>MAX(R9-O9,0)</f>
        <v/>
      </c>
      <c r="T9" s="4">
        <f>I9+N9+S9</f>
        <v/>
      </c>
    </row>
    <row r="10">
      <c r="A10" s="14">
        <f>Raw_Data!A10</f>
        <v/>
      </c>
      <c r="B10" s="8">
        <f>Scoring_Ranking!J10</f>
        <v/>
      </c>
      <c r="C10" s="7">
        <f>Raw_Data!B10</f>
        <v/>
      </c>
      <c r="D10" s="7">
        <f>Raw_Data!C10</f>
        <v/>
      </c>
      <c r="E10" s="7">
        <f>Raw_Data!D10</f>
        <v/>
      </c>
      <c r="F10" s="22">
        <f>Efficiency_Metrics!H10</f>
        <v/>
      </c>
      <c r="G10" s="22">
        <f>SMALL(Efficiency_Metrics!$H$3:Efficiency_Metrics!$H$12,2)</f>
        <v/>
      </c>
      <c r="H10" s="7">
        <f>C10/365*G10</f>
        <v/>
      </c>
      <c r="I10" s="7">
        <f>MAX(E10-H10,0)</f>
        <v/>
      </c>
      <c r="J10" s="7">
        <f>Raw_Data!E10</f>
        <v/>
      </c>
      <c r="K10" s="22">
        <f>Efficiency_Metrics!J10</f>
        <v/>
      </c>
      <c r="L10" s="22">
        <f>SMALL(Efficiency_Metrics!$J$3:Efficiency_Metrics!$J$12,2)</f>
        <v/>
      </c>
      <c r="M10" s="7">
        <f>D10/365*L10</f>
        <v/>
      </c>
      <c r="N10" s="7">
        <f>MAX(J10-M10,0)</f>
        <v/>
      </c>
      <c r="O10" s="7">
        <f>Raw_Data!H10</f>
        <v/>
      </c>
      <c r="P10" s="22">
        <f>Efficiency_Metrics!L10</f>
        <v/>
      </c>
      <c r="Q10" s="22">
        <f>LARGE(Efficiency_Metrics!$L$3:Efficiency_Metrics!$L$12,2)</f>
        <v/>
      </c>
      <c r="R10" s="7">
        <f>D10/365*Q10</f>
        <v/>
      </c>
      <c r="S10" s="7">
        <f>MAX(R10-O10,0)</f>
        <v/>
      </c>
      <c r="T10" s="7">
        <f>I10+N10+S10</f>
        <v/>
      </c>
    </row>
    <row r="11">
      <c r="A11" s="10">
        <f>Raw_Data!A11</f>
        <v/>
      </c>
      <c r="B11" s="5">
        <f>Scoring_Ranking!J11</f>
        <v/>
      </c>
      <c r="C11" s="4">
        <f>Raw_Data!B11</f>
        <v/>
      </c>
      <c r="D11" s="4">
        <f>Raw_Data!C11</f>
        <v/>
      </c>
      <c r="E11" s="4">
        <f>Raw_Data!D11</f>
        <v/>
      </c>
      <c r="F11" s="21">
        <f>Efficiency_Metrics!H11</f>
        <v/>
      </c>
      <c r="G11" s="21">
        <f>SMALL(Efficiency_Metrics!$H$3:Efficiency_Metrics!$H$12,2)</f>
        <v/>
      </c>
      <c r="H11" s="4">
        <f>C11/365*G11</f>
        <v/>
      </c>
      <c r="I11" s="4">
        <f>MAX(E11-H11,0)</f>
        <v/>
      </c>
      <c r="J11" s="4">
        <f>Raw_Data!E11</f>
        <v/>
      </c>
      <c r="K11" s="21">
        <f>Efficiency_Metrics!J11</f>
        <v/>
      </c>
      <c r="L11" s="21">
        <f>SMALL(Efficiency_Metrics!$J$3:Efficiency_Metrics!$J$12,2)</f>
        <v/>
      </c>
      <c r="M11" s="4">
        <f>D11/365*L11</f>
        <v/>
      </c>
      <c r="N11" s="4">
        <f>MAX(J11-M11,0)</f>
        <v/>
      </c>
      <c r="O11" s="4">
        <f>Raw_Data!H11</f>
        <v/>
      </c>
      <c r="P11" s="21">
        <f>Efficiency_Metrics!L11</f>
        <v/>
      </c>
      <c r="Q11" s="21">
        <f>LARGE(Efficiency_Metrics!$L$3:Efficiency_Metrics!$L$12,2)</f>
        <v/>
      </c>
      <c r="R11" s="4">
        <f>D11/365*Q11</f>
        <v/>
      </c>
      <c r="S11" s="4">
        <f>MAX(R11-O11,0)</f>
        <v/>
      </c>
      <c r="T11" s="4">
        <f>I11+N11+S11</f>
        <v/>
      </c>
    </row>
    <row r="12">
      <c r="A12" s="14">
        <f>Raw_Data!A12</f>
        <v/>
      </c>
      <c r="B12" s="8">
        <f>Scoring_Ranking!J12</f>
        <v/>
      </c>
      <c r="C12" s="7">
        <f>Raw_Data!B12</f>
        <v/>
      </c>
      <c r="D12" s="7">
        <f>Raw_Data!C12</f>
        <v/>
      </c>
      <c r="E12" s="7">
        <f>Raw_Data!D12</f>
        <v/>
      </c>
      <c r="F12" s="22">
        <f>Efficiency_Metrics!H12</f>
        <v/>
      </c>
      <c r="G12" s="22">
        <f>SMALL(Efficiency_Metrics!$H$3:Efficiency_Metrics!$H$12,2)</f>
        <v/>
      </c>
      <c r="H12" s="7">
        <f>C12/365*G12</f>
        <v/>
      </c>
      <c r="I12" s="7">
        <f>MAX(E12-H12,0)</f>
        <v/>
      </c>
      <c r="J12" s="7">
        <f>Raw_Data!E12</f>
        <v/>
      </c>
      <c r="K12" s="22">
        <f>Efficiency_Metrics!J12</f>
        <v/>
      </c>
      <c r="L12" s="22">
        <f>SMALL(Efficiency_Metrics!$J$3:Efficiency_Metrics!$J$12,2)</f>
        <v/>
      </c>
      <c r="M12" s="7">
        <f>D12/365*L12</f>
        <v/>
      </c>
      <c r="N12" s="7">
        <f>MAX(J12-M12,0)</f>
        <v/>
      </c>
      <c r="O12" s="7">
        <f>Raw_Data!H12</f>
        <v/>
      </c>
      <c r="P12" s="22">
        <f>Efficiency_Metrics!L12</f>
        <v/>
      </c>
      <c r="Q12" s="22">
        <f>LARGE(Efficiency_Metrics!$L$3:Efficiency_Metrics!$L$12,2)</f>
        <v/>
      </c>
      <c r="R12" s="7">
        <f>D12/365*Q12</f>
        <v/>
      </c>
      <c r="S12" s="7">
        <f>MAX(R12-O12,0)</f>
        <v/>
      </c>
      <c r="T12" s="7">
        <f>I12+N12+S12</f>
        <v/>
      </c>
    </row>
    <row r="14">
      <c r="A14" s="18" t="inlineStr">
        <is>
          <t>TOTAL All 10 Companies (MAX(…,0) ensures below-target contributes $0):</t>
        </is>
      </c>
      <c r="I14" s="24">
        <f>SUM(I3:I12)</f>
        <v/>
      </c>
      <c r="N14" s="24">
        <f>SUM(N3:N12)</f>
        <v/>
      </c>
      <c r="S14" s="24">
        <f>SUM(S3:S12)</f>
        <v/>
      </c>
      <c r="T14" s="24">
        <f>SUM(T3:T12)</f>
        <v/>
      </c>
    </row>
    <row r="15">
      <c r="A15" s="25">
        <f>CONCATENATE("TOTAL Q3+Q4 Companies (",COUNTIF(B3:B12,"Q3")+COUNTIF(B3:B12,"Q4")," cos):  AR  |  Inv  |  AP  |  Combined")</f>
        <v/>
      </c>
      <c r="I15" s="26">
        <f>SUMIF(B3:B12,"Q3",I3:I12)+SUMIF(B3:B12,"Q4",I3:I12)</f>
        <v/>
      </c>
      <c r="N15" s="26">
        <f>SUMIF(B3:B12,"Q3",N3:N12)+SUMIF(B3:B12,"Q4",N3:N12)</f>
        <v/>
      </c>
      <c r="S15" s="26">
        <f>SUMIF(B3:B12,"Q3",S3:S12)+SUMIF(B3:B12,"Q4",S3:S12)</f>
        <v/>
      </c>
      <c r="T15" s="26">
        <f>SUMIF(B3:B12,"Q3",T3:T12)+SUMIF(B3:B12,"Q4",T3:T12)</f>
        <v/>
      </c>
    </row>
    <row r="17">
      <c r="A17" s="9" t="inlineStr">
        <is>
          <t>Target DSO/DIO = SMALL(…,2) (2nd-best peer, avoids outlier).  Target DPO = LARGE(…,2) (2nd-highest peer).  AP Cash Release = positive gap when current DPO &lt; target DPO (company is paying suppliers too early).  MAX(…,0) ensures companies already at/beyond benchmark contribute $0.</t>
        </is>
      </c>
    </row>
  </sheetData>
  <mergeCells count="4">
    <mergeCell ref="A17:T17"/>
    <mergeCell ref="A1:P1"/>
    <mergeCell ref="A14:H14"/>
    <mergeCell ref="A15:H15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36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1" customWidth="1" min="3" max="3"/>
    <col width="12" customWidth="1" min="4" max="4"/>
    <col width="12" customWidth="1" min="5" max="5"/>
    <col width="12" customWidth="1" min="6" max="6"/>
    <col width="12" customWidth="1" min="7" max="7"/>
    <col width="11" customWidth="1" min="8" max="8"/>
    <col width="11" customWidth="1" min="9" max="9"/>
    <col width="12" customWidth="1" min="10" max="10"/>
    <col width="12" customWidth="1" min="11" max="11"/>
    <col width="12" customWidth="1" min="12" max="12"/>
    <col width="11" customWidth="1" min="13" max="13"/>
    <col width="11" customWidth="1" min="14" max="14"/>
    <col width="12" customWidth="1" min="15" max="15"/>
    <col width="12" customWidth="1" min="16" max="16"/>
  </cols>
  <sheetData>
    <row r="1" ht="22" customHeight="1">
      <c r="A1" s="1" t="inlineStr">
        <is>
          <t>Semiconductor WC Benchmarking – Executive Dashboard (All values formula-driven)</t>
        </is>
      </c>
    </row>
    <row r="2" ht="8" customHeight="1"/>
    <row r="3" ht="18" customHeight="1">
      <c r="A3" s="27" t="inlineStr">
        <is>
          <t>SECTION A — Consolidated Metrics Per Company (all values pulled from analysis sheets)</t>
        </is>
      </c>
    </row>
    <row r="4" ht="45" customHeight="1">
      <c r="A4" s="28" t="inlineStr">
        <is>
          <t>Company</t>
        </is>
      </c>
      <c r="B4" s="28" t="inlineStr">
        <is>
          <t>Overall
Rank</t>
        </is>
      </c>
      <c r="C4" s="28" t="inlineStr">
        <is>
          <t>Quartile</t>
        </is>
      </c>
      <c r="D4" s="28" t="inlineStr">
        <is>
          <t>DSO
(days)</t>
        </is>
      </c>
      <c r="E4" s="28" t="inlineStr">
        <is>
          <t>DIO
(days)</t>
        </is>
      </c>
      <c r="F4" s="28" t="inlineStr">
        <is>
          <t>DPO
(days)</t>
        </is>
      </c>
      <c r="G4" s="28" t="inlineStr">
        <is>
          <t>CCC
(days)</t>
        </is>
      </c>
      <c r="H4" s="28" t="inlineStr">
        <is>
          <t>AR Turns</t>
        </is>
      </c>
      <c r="I4" s="28" t="inlineStr">
        <is>
          <t>Inv Turns</t>
        </is>
      </c>
      <c r="J4" s="28" t="inlineStr">
        <is>
          <t>CRR (%)</t>
        </is>
      </c>
      <c r="K4" s="28" t="inlineStr">
        <is>
          <t>WC
($M)</t>
        </is>
      </c>
      <c r="L4" s="28" t="inlineStr">
        <is>
          <t>Op NWC
($M)</t>
        </is>
      </c>
      <c r="M4" s="28" t="inlineStr">
        <is>
          <t>WC/Rev
(%)</t>
        </is>
      </c>
      <c r="N4" s="28" t="inlineStr">
        <is>
          <t>NWC/Rev
(%)</t>
        </is>
      </c>
      <c r="O4" s="28" t="inlineStr">
        <is>
          <t>Current
Ratio</t>
        </is>
      </c>
      <c r="P4" s="28" t="inlineStr">
        <is>
          <t>Quick
Ratio</t>
        </is>
      </c>
    </row>
    <row r="5">
      <c r="A5" s="10">
        <f>Raw_Data!A3</f>
        <v/>
      </c>
      <c r="B5" s="13">
        <f>Scoring_Ranking!I3</f>
        <v/>
      </c>
      <c r="C5" s="5">
        <f>Scoring_Ranking!J3</f>
        <v/>
      </c>
      <c r="D5" s="21">
        <f>Efficiency_Metrics!H3</f>
        <v/>
      </c>
      <c r="E5" s="21">
        <f>Efficiency_Metrics!J3</f>
        <v/>
      </c>
      <c r="F5" s="21">
        <f>Efficiency_Metrics!L3</f>
        <v/>
      </c>
      <c r="G5" s="21">
        <f>Efficiency_Metrics!M3</f>
        <v/>
      </c>
      <c r="H5" s="21">
        <f>Efficiency_Metrics!I3</f>
        <v/>
      </c>
      <c r="I5" s="21">
        <f>Efficiency_Metrics!K3</f>
        <v/>
      </c>
      <c r="J5" s="11">
        <f>Efficiency_Metrics!N3</f>
        <v/>
      </c>
      <c r="K5" s="4">
        <f>WC_NWC!D3</f>
        <v/>
      </c>
      <c r="L5" s="4">
        <f>WC_NWC!J3</f>
        <v/>
      </c>
      <c r="M5" s="11">
        <f>WC_NWC!F3</f>
        <v/>
      </c>
      <c r="N5" s="11">
        <f>WC_NWC!K3</f>
        <v/>
      </c>
      <c r="O5" s="12">
        <f>WC_NWC!L3</f>
        <v/>
      </c>
      <c r="P5" s="12">
        <f>WC_NWC!M3</f>
        <v/>
      </c>
    </row>
    <row r="6">
      <c r="A6" s="14">
        <f>Raw_Data!A4</f>
        <v/>
      </c>
      <c r="B6" s="17">
        <f>Scoring_Ranking!I4</f>
        <v/>
      </c>
      <c r="C6" s="8">
        <f>Scoring_Ranking!J4</f>
        <v/>
      </c>
      <c r="D6" s="22">
        <f>Efficiency_Metrics!H4</f>
        <v/>
      </c>
      <c r="E6" s="22">
        <f>Efficiency_Metrics!J4</f>
        <v/>
      </c>
      <c r="F6" s="22">
        <f>Efficiency_Metrics!L4</f>
        <v/>
      </c>
      <c r="G6" s="22">
        <f>Efficiency_Metrics!M4</f>
        <v/>
      </c>
      <c r="H6" s="22">
        <f>Efficiency_Metrics!I4</f>
        <v/>
      </c>
      <c r="I6" s="22">
        <f>Efficiency_Metrics!K4</f>
        <v/>
      </c>
      <c r="J6" s="15">
        <f>Efficiency_Metrics!N4</f>
        <v/>
      </c>
      <c r="K6" s="7">
        <f>WC_NWC!D4</f>
        <v/>
      </c>
      <c r="L6" s="7">
        <f>WC_NWC!J4</f>
        <v/>
      </c>
      <c r="M6" s="15">
        <f>WC_NWC!F4</f>
        <v/>
      </c>
      <c r="N6" s="15">
        <f>WC_NWC!K4</f>
        <v/>
      </c>
      <c r="O6" s="16">
        <f>WC_NWC!L4</f>
        <v/>
      </c>
      <c r="P6" s="16">
        <f>WC_NWC!M4</f>
        <v/>
      </c>
    </row>
    <row r="7">
      <c r="A7" s="10">
        <f>Raw_Data!A5</f>
        <v/>
      </c>
      <c r="B7" s="13">
        <f>Scoring_Ranking!I5</f>
        <v/>
      </c>
      <c r="C7" s="5">
        <f>Scoring_Ranking!J5</f>
        <v/>
      </c>
      <c r="D7" s="21">
        <f>Efficiency_Metrics!H5</f>
        <v/>
      </c>
      <c r="E7" s="21">
        <f>Efficiency_Metrics!J5</f>
        <v/>
      </c>
      <c r="F7" s="21">
        <f>Efficiency_Metrics!L5</f>
        <v/>
      </c>
      <c r="G7" s="21">
        <f>Efficiency_Metrics!M5</f>
        <v/>
      </c>
      <c r="H7" s="21">
        <f>Efficiency_Metrics!I5</f>
        <v/>
      </c>
      <c r="I7" s="21">
        <f>Efficiency_Metrics!K5</f>
        <v/>
      </c>
      <c r="J7" s="11">
        <f>Efficiency_Metrics!N5</f>
        <v/>
      </c>
      <c r="K7" s="4">
        <f>WC_NWC!D5</f>
        <v/>
      </c>
      <c r="L7" s="4">
        <f>WC_NWC!J5</f>
        <v/>
      </c>
      <c r="M7" s="11">
        <f>WC_NWC!F5</f>
        <v/>
      </c>
      <c r="N7" s="11">
        <f>WC_NWC!K5</f>
        <v/>
      </c>
      <c r="O7" s="12">
        <f>WC_NWC!L5</f>
        <v/>
      </c>
      <c r="P7" s="12">
        <f>WC_NWC!M5</f>
        <v/>
      </c>
    </row>
    <row r="8">
      <c r="A8" s="14">
        <f>Raw_Data!A6</f>
        <v/>
      </c>
      <c r="B8" s="17">
        <f>Scoring_Ranking!I6</f>
        <v/>
      </c>
      <c r="C8" s="8">
        <f>Scoring_Ranking!J6</f>
        <v/>
      </c>
      <c r="D8" s="22">
        <f>Efficiency_Metrics!H6</f>
        <v/>
      </c>
      <c r="E8" s="22">
        <f>Efficiency_Metrics!J6</f>
        <v/>
      </c>
      <c r="F8" s="22">
        <f>Efficiency_Metrics!L6</f>
        <v/>
      </c>
      <c r="G8" s="22">
        <f>Efficiency_Metrics!M6</f>
        <v/>
      </c>
      <c r="H8" s="22">
        <f>Efficiency_Metrics!I6</f>
        <v/>
      </c>
      <c r="I8" s="22">
        <f>Efficiency_Metrics!K6</f>
        <v/>
      </c>
      <c r="J8" s="15">
        <f>Efficiency_Metrics!N6</f>
        <v/>
      </c>
      <c r="K8" s="7">
        <f>WC_NWC!D6</f>
        <v/>
      </c>
      <c r="L8" s="7">
        <f>WC_NWC!J6</f>
        <v/>
      </c>
      <c r="M8" s="15">
        <f>WC_NWC!F6</f>
        <v/>
      </c>
      <c r="N8" s="15">
        <f>WC_NWC!K6</f>
        <v/>
      </c>
      <c r="O8" s="16">
        <f>WC_NWC!L6</f>
        <v/>
      </c>
      <c r="P8" s="16">
        <f>WC_NWC!M6</f>
        <v/>
      </c>
    </row>
    <row r="9">
      <c r="A9" s="10">
        <f>Raw_Data!A7</f>
        <v/>
      </c>
      <c r="B9" s="13">
        <f>Scoring_Ranking!I7</f>
        <v/>
      </c>
      <c r="C9" s="5">
        <f>Scoring_Ranking!J7</f>
        <v/>
      </c>
      <c r="D9" s="21">
        <f>Efficiency_Metrics!H7</f>
        <v/>
      </c>
      <c r="E9" s="21">
        <f>Efficiency_Metrics!J7</f>
        <v/>
      </c>
      <c r="F9" s="21">
        <f>Efficiency_Metrics!L7</f>
        <v/>
      </c>
      <c r="G9" s="21">
        <f>Efficiency_Metrics!M7</f>
        <v/>
      </c>
      <c r="H9" s="21">
        <f>Efficiency_Metrics!I7</f>
        <v/>
      </c>
      <c r="I9" s="21">
        <f>Efficiency_Metrics!K7</f>
        <v/>
      </c>
      <c r="J9" s="11">
        <f>Efficiency_Metrics!N7</f>
        <v/>
      </c>
      <c r="K9" s="4">
        <f>WC_NWC!D7</f>
        <v/>
      </c>
      <c r="L9" s="4">
        <f>WC_NWC!J7</f>
        <v/>
      </c>
      <c r="M9" s="11">
        <f>WC_NWC!F7</f>
        <v/>
      </c>
      <c r="N9" s="11">
        <f>WC_NWC!K7</f>
        <v/>
      </c>
      <c r="O9" s="12">
        <f>WC_NWC!L7</f>
        <v/>
      </c>
      <c r="P9" s="12">
        <f>WC_NWC!M7</f>
        <v/>
      </c>
    </row>
    <row r="10">
      <c r="A10" s="14">
        <f>Raw_Data!A8</f>
        <v/>
      </c>
      <c r="B10" s="17">
        <f>Scoring_Ranking!I8</f>
        <v/>
      </c>
      <c r="C10" s="8">
        <f>Scoring_Ranking!J8</f>
        <v/>
      </c>
      <c r="D10" s="22">
        <f>Efficiency_Metrics!H8</f>
        <v/>
      </c>
      <c r="E10" s="22">
        <f>Efficiency_Metrics!J8</f>
        <v/>
      </c>
      <c r="F10" s="22">
        <f>Efficiency_Metrics!L8</f>
        <v/>
      </c>
      <c r="G10" s="22">
        <f>Efficiency_Metrics!M8</f>
        <v/>
      </c>
      <c r="H10" s="22">
        <f>Efficiency_Metrics!I8</f>
        <v/>
      </c>
      <c r="I10" s="22">
        <f>Efficiency_Metrics!K8</f>
        <v/>
      </c>
      <c r="J10" s="15">
        <f>Efficiency_Metrics!N8</f>
        <v/>
      </c>
      <c r="K10" s="7">
        <f>WC_NWC!D8</f>
        <v/>
      </c>
      <c r="L10" s="7">
        <f>WC_NWC!J8</f>
        <v/>
      </c>
      <c r="M10" s="15">
        <f>WC_NWC!F8</f>
        <v/>
      </c>
      <c r="N10" s="15">
        <f>WC_NWC!K8</f>
        <v/>
      </c>
      <c r="O10" s="16">
        <f>WC_NWC!L8</f>
        <v/>
      </c>
      <c r="P10" s="16">
        <f>WC_NWC!M8</f>
        <v/>
      </c>
    </row>
    <row r="11">
      <c r="A11" s="10">
        <f>Raw_Data!A9</f>
        <v/>
      </c>
      <c r="B11" s="13">
        <f>Scoring_Ranking!I9</f>
        <v/>
      </c>
      <c r="C11" s="5">
        <f>Scoring_Ranking!J9</f>
        <v/>
      </c>
      <c r="D11" s="21">
        <f>Efficiency_Metrics!H9</f>
        <v/>
      </c>
      <c r="E11" s="21">
        <f>Efficiency_Metrics!J9</f>
        <v/>
      </c>
      <c r="F11" s="21">
        <f>Efficiency_Metrics!L9</f>
        <v/>
      </c>
      <c r="G11" s="21">
        <f>Efficiency_Metrics!M9</f>
        <v/>
      </c>
      <c r="H11" s="21">
        <f>Efficiency_Metrics!I9</f>
        <v/>
      </c>
      <c r="I11" s="21">
        <f>Efficiency_Metrics!K9</f>
        <v/>
      </c>
      <c r="J11" s="11">
        <f>Efficiency_Metrics!N9</f>
        <v/>
      </c>
      <c r="K11" s="4">
        <f>WC_NWC!D9</f>
        <v/>
      </c>
      <c r="L11" s="4">
        <f>WC_NWC!J9</f>
        <v/>
      </c>
      <c r="M11" s="11">
        <f>WC_NWC!F9</f>
        <v/>
      </c>
      <c r="N11" s="11">
        <f>WC_NWC!K9</f>
        <v/>
      </c>
      <c r="O11" s="12">
        <f>WC_NWC!L9</f>
        <v/>
      </c>
      <c r="P11" s="12">
        <f>WC_NWC!M9</f>
        <v/>
      </c>
    </row>
    <row r="12">
      <c r="A12" s="14">
        <f>Raw_Data!A10</f>
        <v/>
      </c>
      <c r="B12" s="17">
        <f>Scoring_Ranking!I10</f>
        <v/>
      </c>
      <c r="C12" s="8">
        <f>Scoring_Ranking!J10</f>
        <v/>
      </c>
      <c r="D12" s="22">
        <f>Efficiency_Metrics!H10</f>
        <v/>
      </c>
      <c r="E12" s="22">
        <f>Efficiency_Metrics!J10</f>
        <v/>
      </c>
      <c r="F12" s="22">
        <f>Efficiency_Metrics!L10</f>
        <v/>
      </c>
      <c r="G12" s="22">
        <f>Efficiency_Metrics!M10</f>
        <v/>
      </c>
      <c r="H12" s="22">
        <f>Efficiency_Metrics!I10</f>
        <v/>
      </c>
      <c r="I12" s="22">
        <f>Efficiency_Metrics!K10</f>
        <v/>
      </c>
      <c r="J12" s="15">
        <f>Efficiency_Metrics!N10</f>
        <v/>
      </c>
      <c r="K12" s="7">
        <f>WC_NWC!D10</f>
        <v/>
      </c>
      <c r="L12" s="7">
        <f>WC_NWC!J10</f>
        <v/>
      </c>
      <c r="M12" s="15">
        <f>WC_NWC!F10</f>
        <v/>
      </c>
      <c r="N12" s="15">
        <f>WC_NWC!K10</f>
        <v/>
      </c>
      <c r="O12" s="16">
        <f>WC_NWC!L10</f>
        <v/>
      </c>
      <c r="P12" s="16">
        <f>WC_NWC!M10</f>
        <v/>
      </c>
    </row>
    <row r="13">
      <c r="A13" s="10">
        <f>Raw_Data!A11</f>
        <v/>
      </c>
      <c r="B13" s="13">
        <f>Scoring_Ranking!I11</f>
        <v/>
      </c>
      <c r="C13" s="5">
        <f>Scoring_Ranking!J11</f>
        <v/>
      </c>
      <c r="D13" s="21">
        <f>Efficiency_Metrics!H11</f>
        <v/>
      </c>
      <c r="E13" s="21">
        <f>Efficiency_Metrics!J11</f>
        <v/>
      </c>
      <c r="F13" s="21">
        <f>Efficiency_Metrics!L11</f>
        <v/>
      </c>
      <c r="G13" s="21">
        <f>Efficiency_Metrics!M11</f>
        <v/>
      </c>
      <c r="H13" s="21">
        <f>Efficiency_Metrics!I11</f>
        <v/>
      </c>
      <c r="I13" s="21">
        <f>Efficiency_Metrics!K11</f>
        <v/>
      </c>
      <c r="J13" s="11">
        <f>Efficiency_Metrics!N11</f>
        <v/>
      </c>
      <c r="K13" s="4">
        <f>WC_NWC!D11</f>
        <v/>
      </c>
      <c r="L13" s="4">
        <f>WC_NWC!J11</f>
        <v/>
      </c>
      <c r="M13" s="11">
        <f>WC_NWC!F11</f>
        <v/>
      </c>
      <c r="N13" s="11">
        <f>WC_NWC!K11</f>
        <v/>
      </c>
      <c r="O13" s="12">
        <f>WC_NWC!L11</f>
        <v/>
      </c>
      <c r="P13" s="12">
        <f>WC_NWC!M11</f>
        <v/>
      </c>
    </row>
    <row r="14">
      <c r="A14" s="14">
        <f>Raw_Data!A12</f>
        <v/>
      </c>
      <c r="B14" s="17">
        <f>Scoring_Ranking!I12</f>
        <v/>
      </c>
      <c r="C14" s="8">
        <f>Scoring_Ranking!J12</f>
        <v/>
      </c>
      <c r="D14" s="22">
        <f>Efficiency_Metrics!H12</f>
        <v/>
      </c>
      <c r="E14" s="22">
        <f>Efficiency_Metrics!J12</f>
        <v/>
      </c>
      <c r="F14" s="22">
        <f>Efficiency_Metrics!L12</f>
        <v/>
      </c>
      <c r="G14" s="22">
        <f>Efficiency_Metrics!M12</f>
        <v/>
      </c>
      <c r="H14" s="22">
        <f>Efficiency_Metrics!I12</f>
        <v/>
      </c>
      <c r="I14" s="22">
        <f>Efficiency_Metrics!K12</f>
        <v/>
      </c>
      <c r="J14" s="15">
        <f>Efficiency_Metrics!N12</f>
        <v/>
      </c>
      <c r="K14" s="7">
        <f>WC_NWC!D12</f>
        <v/>
      </c>
      <c r="L14" s="7">
        <f>WC_NWC!J12</f>
        <v/>
      </c>
      <c r="M14" s="15">
        <f>WC_NWC!F12</f>
        <v/>
      </c>
      <c r="N14" s="15">
        <f>WC_NWC!K12</f>
        <v/>
      </c>
      <c r="O14" s="16">
        <f>WC_NWC!L12</f>
        <v/>
      </c>
      <c r="P14" s="16">
        <f>WC_NWC!M12</f>
        <v/>
      </c>
    </row>
    <row r="16" ht="18" customHeight="1">
      <c r="A16" s="27" t="inlineStr">
        <is>
          <t>SECTION B — Peer Benchmark Summary (Best / Median / Worst — all formulas)</t>
        </is>
      </c>
    </row>
    <row r="17" ht="40" customHeight="1">
      <c r="A17" s="2" t="inlineStr">
        <is>
          <t>Metric</t>
        </is>
      </c>
      <c r="B17" s="2" t="inlineStr">
        <is>
          <t>Best-in-Class
[formula]</t>
        </is>
      </c>
      <c r="C17" s="2" t="inlineStr">
        <is>
          <t>Peer Median
[=MEDIAN]</t>
        </is>
      </c>
      <c r="D17" s="2" t="inlineStr">
        <is>
          <t>Peer Average
[=AVERAGE]</t>
        </is>
      </c>
      <c r="E17" s="2" t="inlineStr">
        <is>
          <t>Worst
[formula]</t>
        </is>
      </c>
      <c r="F17" s="2" t="inlineStr">
        <is>
          <t>Benchmark
Direction</t>
        </is>
      </c>
    </row>
    <row r="18">
      <c r="A18" s="14" t="inlineStr">
        <is>
          <t>DSO (days)</t>
        </is>
      </c>
      <c r="B18" s="22">
        <f>MIN(Efficiency_Metrics!H3:Efficiency_Metrics!H12)</f>
        <v/>
      </c>
      <c r="C18" s="22">
        <f>MEDIAN(Efficiency_Metrics!H3:Efficiency_Metrics!H12)</f>
        <v/>
      </c>
      <c r="D18" s="22">
        <f>AVERAGE(Efficiency_Metrics!H3:Efficiency_Metrics!H12)</f>
        <v/>
      </c>
      <c r="E18" s="22">
        <f>MAX(Efficiency_Metrics!H3:Efficiency_Metrics!H12)</f>
        <v/>
      </c>
      <c r="F18" s="14" t="inlineStr">
        <is>
          <t>Lower = Better</t>
        </is>
      </c>
    </row>
    <row r="19">
      <c r="A19" s="10" t="inlineStr">
        <is>
          <t>DIO (days)</t>
        </is>
      </c>
      <c r="B19" s="21">
        <f>MIN(Efficiency_Metrics!J3:Efficiency_Metrics!J12)</f>
        <v/>
      </c>
      <c r="C19" s="21">
        <f>MEDIAN(Efficiency_Metrics!J3:Efficiency_Metrics!J12)</f>
        <v/>
      </c>
      <c r="D19" s="21">
        <f>AVERAGE(Efficiency_Metrics!J3:Efficiency_Metrics!J12)</f>
        <v/>
      </c>
      <c r="E19" s="21">
        <f>MAX(Efficiency_Metrics!J3:Efficiency_Metrics!J12)</f>
        <v/>
      </c>
      <c r="F19" s="10" t="inlineStr">
        <is>
          <t>Lower = Better</t>
        </is>
      </c>
    </row>
    <row r="20">
      <c r="A20" s="14" t="inlineStr">
        <is>
          <t>DPO (days)</t>
        </is>
      </c>
      <c r="B20" s="22">
        <f>MAX(Efficiency_Metrics!L3:Efficiency_Metrics!L12)</f>
        <v/>
      </c>
      <c r="C20" s="22">
        <f>MEDIAN(Efficiency_Metrics!L3:Efficiency_Metrics!L12)</f>
        <v/>
      </c>
      <c r="D20" s="22">
        <f>AVERAGE(Efficiency_Metrics!L3:Efficiency_Metrics!L12)</f>
        <v/>
      </c>
      <c r="E20" s="22">
        <f>MIN(Efficiency_Metrics!L3:Efficiency_Metrics!L12)</f>
        <v/>
      </c>
      <c r="F20" s="14" t="inlineStr">
        <is>
          <t>Higher = Better</t>
        </is>
      </c>
    </row>
    <row r="21">
      <c r="A21" s="10" t="inlineStr">
        <is>
          <t>CCC (days)</t>
        </is>
      </c>
      <c r="B21" s="21">
        <f>MIN(Efficiency_Metrics!M3:Efficiency_Metrics!M12)</f>
        <v/>
      </c>
      <c r="C21" s="21">
        <f>MEDIAN(Efficiency_Metrics!M3:Efficiency_Metrics!M12)</f>
        <v/>
      </c>
      <c r="D21" s="21">
        <f>AVERAGE(Efficiency_Metrics!M3:Efficiency_Metrics!M12)</f>
        <v/>
      </c>
      <c r="E21" s="21">
        <f>MAX(Efficiency_Metrics!M3:Efficiency_Metrics!M12)</f>
        <v/>
      </c>
      <c r="F21" s="10" t="inlineStr">
        <is>
          <t>Lower = Better</t>
        </is>
      </c>
    </row>
    <row r="22">
      <c r="A22" s="14" t="inlineStr">
        <is>
          <t>AR Turns</t>
        </is>
      </c>
      <c r="B22" s="22">
        <f>MAX(Efficiency_Metrics!I3:Efficiency_Metrics!I12)</f>
        <v/>
      </c>
      <c r="C22" s="22">
        <f>MEDIAN(Efficiency_Metrics!I3:Efficiency_Metrics!I12)</f>
        <v/>
      </c>
      <c r="D22" s="22">
        <f>AVERAGE(Efficiency_Metrics!I3:Efficiency_Metrics!I12)</f>
        <v/>
      </c>
      <c r="E22" s="22">
        <f>MIN(Efficiency_Metrics!I3:Efficiency_Metrics!I12)</f>
        <v/>
      </c>
      <c r="F22" s="14" t="inlineStr">
        <is>
          <t>Higher = Better</t>
        </is>
      </c>
    </row>
    <row r="23">
      <c r="A23" s="10" t="inlineStr">
        <is>
          <t>Inv Turns</t>
        </is>
      </c>
      <c r="B23" s="21">
        <f>MAX(Efficiency_Metrics!K3:Efficiency_Metrics!K12)</f>
        <v/>
      </c>
      <c r="C23" s="21">
        <f>MEDIAN(Efficiency_Metrics!K3:Efficiency_Metrics!K12)</f>
        <v/>
      </c>
      <c r="D23" s="21">
        <f>AVERAGE(Efficiency_Metrics!K3:Efficiency_Metrics!K12)</f>
        <v/>
      </c>
      <c r="E23" s="21">
        <f>MIN(Efficiency_Metrics!K3:Efficiency_Metrics!K12)</f>
        <v/>
      </c>
      <c r="F23" s="10" t="inlineStr">
        <is>
          <t>Higher = Better</t>
        </is>
      </c>
    </row>
    <row r="24">
      <c r="A24" s="14" t="inlineStr">
        <is>
          <t>CRR (%)</t>
        </is>
      </c>
      <c r="B24" s="15">
        <f>MAX(Efficiency_Metrics!N3:Efficiency_Metrics!N12)</f>
        <v/>
      </c>
      <c r="C24" s="15">
        <f>MEDIAN(Efficiency_Metrics!N3:Efficiency_Metrics!N12)</f>
        <v/>
      </c>
      <c r="D24" s="15">
        <f>AVERAGE(Efficiency_Metrics!N3:Efficiency_Metrics!N12)</f>
        <v/>
      </c>
      <c r="E24" s="15">
        <f>MIN(Efficiency_Metrics!N3:Efficiency_Metrics!N12)</f>
        <v/>
      </c>
      <c r="F24" s="14" t="inlineStr">
        <is>
          <t>Higher = Better</t>
        </is>
      </c>
    </row>
    <row r="25">
      <c r="A25" s="10" t="inlineStr">
        <is>
          <t>WC/Rev (%)</t>
        </is>
      </c>
      <c r="B25" s="11">
        <f>MIN(WC_NWC!F3:WC_NWC!F12)</f>
        <v/>
      </c>
      <c r="C25" s="11">
        <f>MEDIAN(WC_NWC!F3:WC_NWC!F12)</f>
        <v/>
      </c>
      <c r="D25" s="11">
        <f>AVERAGE(WC_NWC!F3:WC_NWC!F12)</f>
        <v/>
      </c>
      <c r="E25" s="11">
        <f>MAX(WC_NWC!F3:WC_NWC!F12)</f>
        <v/>
      </c>
      <c r="F25" s="10" t="inlineStr">
        <is>
          <t>Lower = Better</t>
        </is>
      </c>
    </row>
    <row r="26">
      <c r="A26" s="14" t="inlineStr">
        <is>
          <t>NWC/Rev (%)</t>
        </is>
      </c>
      <c r="B26" s="15">
        <f>MIN(WC_NWC!K3:WC_NWC!K12)</f>
        <v/>
      </c>
      <c r="C26" s="15">
        <f>MEDIAN(WC_NWC!K3:WC_NWC!K12)</f>
        <v/>
      </c>
      <c r="D26" s="15">
        <f>AVERAGE(WC_NWC!K3:WC_NWC!K12)</f>
        <v/>
      </c>
      <c r="E26" s="15">
        <f>MAX(WC_NWC!K3:WC_NWC!K12)</f>
        <v/>
      </c>
      <c r="F26" s="14" t="inlineStr">
        <is>
          <t>Lower = Better</t>
        </is>
      </c>
    </row>
    <row r="27">
      <c r="A27" s="10" t="inlineStr">
        <is>
          <t>Current Ratio</t>
        </is>
      </c>
      <c r="B27" s="12">
        <f>MAX(WC_NWC!L3:WC_NWC!L12)</f>
        <v/>
      </c>
      <c r="C27" s="12">
        <f>MEDIAN(WC_NWC!L3:WC_NWC!L12)</f>
        <v/>
      </c>
      <c r="D27" s="12">
        <f>AVERAGE(WC_NWC!L3:WC_NWC!L12)</f>
        <v/>
      </c>
      <c r="E27" s="12">
        <f>MIN(WC_NWC!L3:WC_NWC!L12)</f>
        <v/>
      </c>
      <c r="F27" s="10" t="inlineStr">
        <is>
          <t>≥1 healthy</t>
        </is>
      </c>
    </row>
    <row r="28">
      <c r="A28" s="14" t="inlineStr">
        <is>
          <t>Quick Ratio</t>
        </is>
      </c>
      <c r="B28" s="16">
        <f>MAX(WC_NWC!M3:WC_NWC!M12)</f>
        <v/>
      </c>
      <c r="C28" s="16">
        <f>MEDIAN(WC_NWC!M3:WC_NWC!M12)</f>
        <v/>
      </c>
      <c r="D28" s="16">
        <f>AVERAGE(WC_NWC!M3:WC_NWC!M12)</f>
        <v/>
      </c>
      <c r="E28" s="16">
        <f>MIN(WC_NWC!M3:WC_NWC!M12)</f>
        <v/>
      </c>
      <c r="F28" s="14" t="inlineStr">
        <is>
          <t>≥0.8 healthy</t>
        </is>
      </c>
    </row>
    <row r="31" ht="18" customHeight="1">
      <c r="A31" s="27" t="inlineStr">
        <is>
          <t>SECTION C — Cash Release Potential Summary (all values from Cash_Release sheet)</t>
        </is>
      </c>
    </row>
    <row r="32" ht="40" customHeight="1">
      <c r="A32" s="2" t="inlineStr">
        <is>
          <t>Scope</t>
        </is>
      </c>
      <c r="B32" s="2" t="inlineStr">
        <is>
          <t>AR Cash Release
($M)</t>
        </is>
      </c>
      <c r="C32" s="2" t="inlineStr">
        <is>
          <t>Inv Cash Release
($M)</t>
        </is>
      </c>
      <c r="D32" s="2" t="inlineStr">
        <is>
          <t>AP Cash Release
($M)</t>
        </is>
      </c>
      <c r="E32" s="2" t="inlineStr">
        <is>
          <t>Total Cash Release
($M)</t>
        </is>
      </c>
    </row>
    <row r="33">
      <c r="A33" s="3" t="inlineStr">
        <is>
          <t>All 10 Companies</t>
        </is>
      </c>
      <c r="B33" s="29">
        <f>Cash_Release!I14</f>
        <v/>
      </c>
      <c r="C33" s="29">
        <f>Cash_Release!N14</f>
        <v/>
      </c>
      <c r="D33" s="29">
        <f>Cash_Release!S14</f>
        <v/>
      </c>
      <c r="E33" s="29">
        <f>Cash_Release!T14</f>
        <v/>
      </c>
    </row>
    <row r="34">
      <c r="A34" s="6" t="inlineStr">
        <is>
          <t>Q3 + Q4 Laggards only</t>
        </is>
      </c>
      <c r="B34" s="30">
        <f>Cash_Release!I15</f>
        <v/>
      </c>
      <c r="C34" s="30">
        <f>Cash_Release!N15</f>
        <v/>
      </c>
      <c r="D34" s="30">
        <f>Cash_Release!S15</f>
        <v/>
      </c>
      <c r="E34" s="30">
        <f>Cash_Release!T15</f>
        <v/>
      </c>
    </row>
    <row r="36">
      <c r="A36" s="9" t="inlineStr">
        <is>
          <t>This dashboard is 100% formula-driven — every value references a source cell in Raw_Data, WC_NWC, Efficiency_Metrics, Scoring_Ranking, Benchmark_Analysis, or Cash_Release. Select any cell and inspect the formula bar to trace back to raw data.</t>
        </is>
      </c>
    </row>
  </sheetData>
  <mergeCells count="5">
    <mergeCell ref="A36:P36"/>
    <mergeCell ref="A1:P1"/>
    <mergeCell ref="A31:P31"/>
    <mergeCell ref="A3:P3"/>
    <mergeCell ref="A16:P1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2026-05-05T21:14:22Z</dcterms:created>
  <dcterms:modified xsi:type="dcterms:W3CDTF">2026-05-05T21:14:22Z</dcterms:modified>
</cp:coreProperties>
</file>