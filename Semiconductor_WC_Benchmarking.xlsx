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_Data" sheetId="1" state="visible" r:id="rId1"/>
    <sheet name="WC_NWC" sheetId="2" state="visible" r:id="rId2"/>
    <sheet name="Efficiency_Metrics" sheetId="3" state="visible" r:id="rId3"/>
    <sheet name="Scoring_Ranking" sheetId="4" state="visible" r:id="rId4"/>
    <sheet name="Benchmark_Analysis" sheetId="5" state="visible" r:id="rId5"/>
    <sheet name="Cash_Relea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6">
    <font>
      <name val="Calibri"/>
      <family val="2"/>
      <color theme="1"/>
      <sz val="11"/>
      <scheme val="minor"/>
    </font>
    <font>
      <name val="Calibri"/>
      <b val="1"/>
      <color rgb="001F4E79"/>
      <sz val="13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i val="1"/>
      <color rgb="00595959"/>
      <sz val="9"/>
    </font>
  </fonts>
  <fills count="8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DEEAF1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3" fontId="4" fillId="4" borderId="1" applyAlignment="1" pivotButton="0" quotePrefix="0" xfId="0">
      <alignment horizontal="center" vertical="center" wrapText="1"/>
    </xf>
    <xf numFmtId="49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3" fontId="4" fillId="5" borderId="1" applyAlignment="1" pivotButton="0" quotePrefix="0" xfId="0">
      <alignment horizontal="center" vertical="center" wrapText="1"/>
    </xf>
    <xf numFmtId="49" fontId="4" fillId="5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49" fontId="4" fillId="4" borderId="1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1" fontId="4" fillId="4" borderId="1" applyAlignment="1" pivotButton="0" quotePrefix="0" xfId="0">
      <alignment horizontal="center" vertical="center" wrapText="1"/>
    </xf>
    <xf numFmtId="49" fontId="4" fillId="5" borderId="1" applyAlignment="1" pivotButton="0" quotePrefix="0" xfId="0">
      <alignment horizontal="left" vertical="center" wrapText="1"/>
    </xf>
    <xf numFmtId="164" fontId="4" fillId="5" borderId="1" applyAlignment="1" pivotButton="0" quotePrefix="0" xfId="0">
      <alignment horizontal="center" vertical="center" wrapText="1"/>
    </xf>
    <xf numFmtId="1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164" fontId="3" fillId="6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165" fontId="3" fillId="6" borderId="1" applyAlignment="1" pivotButton="0" quotePrefix="0" xfId="0">
      <alignment horizontal="center" vertical="center" wrapText="1"/>
    </xf>
    <xf numFmtId="3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6" customWidth="1" min="4" max="4"/>
    <col width="12" customWidth="1" min="5" max="5"/>
    <col width="17" customWidth="1" min="6" max="6"/>
    <col width="16" customWidth="1" min="7" max="7"/>
    <col width="14" customWidth="1" min="8" max="8"/>
    <col width="18" customWidth="1" min="9" max="9"/>
    <col width="16" customWidth="1" min="10" max="10"/>
    <col width="12" customWidth="1" min="11" max="11"/>
  </cols>
  <sheetData>
    <row r="1" ht="22" customHeight="1">
      <c r="A1" s="1" t="inlineStr">
        <is>
          <t>Semiconductor Peer Group – FY2023 Raw Financial Data (USD Millions) — SOURCE DATA ONLY</t>
        </is>
      </c>
    </row>
    <row r="2" ht="38" customHeight="1">
      <c r="A2" s="2" t="inlineStr">
        <is>
          <t>Company</t>
        </is>
      </c>
      <c r="B2" s="2" t="inlineStr">
        <is>
          <t>Revenue
($M)</t>
        </is>
      </c>
      <c r="C2" s="2" t="inlineStr">
        <is>
          <t>COGS
($M)</t>
        </is>
      </c>
      <c r="D2" s="2" t="inlineStr">
        <is>
          <t>Accounts
Receivable ($M)</t>
        </is>
      </c>
      <c r="E2" s="2" t="inlineStr">
        <is>
          <t>Inventory
($M)</t>
        </is>
      </c>
      <c r="F2" s="2" t="inlineStr">
        <is>
          <t>Cash &amp; ST
Investments ($M)</t>
        </is>
      </c>
      <c r="G2" s="2" t="inlineStr">
        <is>
          <t>Total Current
Assets ($M)</t>
        </is>
      </c>
      <c r="H2" s="2" t="inlineStr">
        <is>
          <t>Accounts
Payable ($M)</t>
        </is>
      </c>
      <c r="I2" s="2" t="inlineStr">
        <is>
          <t>Total Current
Liabilities ($M)</t>
        </is>
      </c>
      <c r="J2" s="2" t="inlineStr">
        <is>
          <t>Operating
Cash Flow ($M)</t>
        </is>
      </c>
      <c r="K2" s="2" t="inlineStr">
        <is>
          <t>Fiscal Year
End</t>
        </is>
      </c>
    </row>
    <row r="3">
      <c r="A3" s="3" t="inlineStr">
        <is>
          <t>AMD</t>
        </is>
      </c>
      <c r="B3" s="4" t="n">
        <v>22680</v>
      </c>
      <c r="C3" s="4" t="n">
        <v>11529</v>
      </c>
      <c r="D3" s="4" t="n">
        <v>2558</v>
      </c>
      <c r="E3" s="4" t="n">
        <v>1848</v>
      </c>
      <c r="F3" s="4" t="n">
        <v>5773</v>
      </c>
      <c r="G3" s="4" t="n">
        <v>12084</v>
      </c>
      <c r="H3" s="4" t="n">
        <v>1397</v>
      </c>
      <c r="I3" s="4" t="n">
        <v>4538</v>
      </c>
      <c r="J3" s="4" t="n">
        <v>2817</v>
      </c>
      <c r="K3" s="5" t="inlineStr">
        <is>
          <t>Dec 2023</t>
        </is>
      </c>
    </row>
    <row r="4">
      <c r="A4" s="6" t="inlineStr">
        <is>
          <t>Intel</t>
        </is>
      </c>
      <c r="B4" s="7" t="n">
        <v>54228</v>
      </c>
      <c r="C4" s="7" t="n">
        <v>29134</v>
      </c>
      <c r="D4" s="7" t="n">
        <v>3039</v>
      </c>
      <c r="E4" s="7" t="n">
        <v>11127</v>
      </c>
      <c r="F4" s="7" t="n">
        <v>25020</v>
      </c>
      <c r="G4" s="7" t="n">
        <v>43273</v>
      </c>
      <c r="H4" s="7" t="n">
        <v>3987</v>
      </c>
      <c r="I4" s="7" t="n">
        <v>28053</v>
      </c>
      <c r="J4" s="7" t="n">
        <v>11518</v>
      </c>
      <c r="K4" s="8" t="inlineStr">
        <is>
          <t>Dec 2023</t>
        </is>
      </c>
    </row>
    <row r="5">
      <c r="A5" s="3" t="inlineStr">
        <is>
          <t>Texas Instruments</t>
        </is>
      </c>
      <c r="B5" s="4" t="n">
        <v>17519</v>
      </c>
      <c r="C5" s="4" t="n">
        <v>5679</v>
      </c>
      <c r="D5" s="4" t="n">
        <v>813</v>
      </c>
      <c r="E5" s="4" t="n">
        <v>3812</v>
      </c>
      <c r="F5" s="4" t="n">
        <v>8474</v>
      </c>
      <c r="G5" s="4" t="n">
        <v>11497</v>
      </c>
      <c r="H5" s="4" t="n">
        <v>347</v>
      </c>
      <c r="I5" s="4" t="n">
        <v>2632</v>
      </c>
      <c r="J5" s="4" t="n">
        <v>6334</v>
      </c>
      <c r="K5" s="5" t="inlineStr">
        <is>
          <t>Dec 2023</t>
        </is>
      </c>
    </row>
    <row r="6">
      <c r="A6" s="6" t="inlineStr">
        <is>
          <t>NVIDIA</t>
        </is>
      </c>
      <c r="B6" s="7" t="n">
        <v>60922</v>
      </c>
      <c r="C6" s="7" t="n">
        <v>16621</v>
      </c>
      <c r="D6" s="7" t="n">
        <v>9999</v>
      </c>
      <c r="E6" s="7" t="n">
        <v>5282</v>
      </c>
      <c r="F6" s="7" t="n">
        <v>25984</v>
      </c>
      <c r="G6" s="7" t="n">
        <v>46200</v>
      </c>
      <c r="H6" s="7" t="n">
        <v>1306</v>
      </c>
      <c r="I6" s="7" t="n">
        <v>10631</v>
      </c>
      <c r="J6" s="7" t="n">
        <v>28080</v>
      </c>
      <c r="K6" s="8" t="inlineStr">
        <is>
          <t>Jan 2024</t>
        </is>
      </c>
    </row>
    <row r="7">
      <c r="A7" s="3" t="inlineStr">
        <is>
          <t>Qualcomm</t>
        </is>
      </c>
      <c r="B7" s="4" t="n">
        <v>35820</v>
      </c>
      <c r="C7" s="4" t="n">
        <v>16040</v>
      </c>
      <c r="D7" s="4" t="n">
        <v>2040</v>
      </c>
      <c r="E7" s="4" t="n">
        <v>2313</v>
      </c>
      <c r="F7" s="4" t="n">
        <v>8520</v>
      </c>
      <c r="G7" s="4" t="n">
        <v>14049</v>
      </c>
      <c r="H7" s="4" t="n">
        <v>791</v>
      </c>
      <c r="I7" s="4" t="n">
        <v>9016</v>
      </c>
      <c r="J7" s="4" t="n">
        <v>10133</v>
      </c>
      <c r="K7" s="5" t="inlineStr">
        <is>
          <t>Sep 2023</t>
        </is>
      </c>
    </row>
    <row r="8">
      <c r="A8" s="6" t="inlineStr">
        <is>
          <t>NXP Semi</t>
        </is>
      </c>
      <c r="B8" s="7" t="n">
        <v>13276</v>
      </c>
      <c r="C8" s="7" t="n">
        <v>6146</v>
      </c>
      <c r="D8" s="7" t="n">
        <v>1091</v>
      </c>
      <c r="E8" s="7" t="n">
        <v>1700</v>
      </c>
      <c r="F8" s="7" t="n">
        <v>3276</v>
      </c>
      <c r="G8" s="7" t="n">
        <v>6504</v>
      </c>
      <c r="H8" s="7" t="n">
        <v>696</v>
      </c>
      <c r="I8" s="7" t="n">
        <v>3709</v>
      </c>
      <c r="J8" s="7" t="n">
        <v>3281</v>
      </c>
      <c r="K8" s="8" t="inlineStr">
        <is>
          <t>Dec 2023</t>
        </is>
      </c>
    </row>
    <row r="9">
      <c r="A9" s="3" t="inlineStr">
        <is>
          <t>TSMC</t>
        </is>
      </c>
      <c r="B9" s="4" t="n">
        <v>69299</v>
      </c>
      <c r="C9" s="4" t="n">
        <v>31608</v>
      </c>
      <c r="D9" s="4" t="n">
        <v>4208</v>
      </c>
      <c r="E9" s="4" t="n">
        <v>6519</v>
      </c>
      <c r="F9" s="4" t="n">
        <v>35050</v>
      </c>
      <c r="G9" s="4" t="n">
        <v>46350</v>
      </c>
      <c r="H9" s="4" t="n">
        <v>3523</v>
      </c>
      <c r="I9" s="4" t="n">
        <v>25100</v>
      </c>
      <c r="J9" s="4" t="n">
        <v>37200</v>
      </c>
      <c r="K9" s="5" t="inlineStr">
        <is>
          <t>Dec 2023</t>
        </is>
      </c>
    </row>
    <row r="10">
      <c r="A10" s="6" t="inlineStr">
        <is>
          <t>Micron</t>
        </is>
      </c>
      <c r="B10" s="7" t="n">
        <v>15540</v>
      </c>
      <c r="C10" s="7" t="n">
        <v>13974</v>
      </c>
      <c r="D10" s="7" t="n">
        <v>2388</v>
      </c>
      <c r="E10" s="7" t="n">
        <v>8032</v>
      </c>
      <c r="F10" s="7" t="n">
        <v>9830</v>
      </c>
      <c r="G10" s="7" t="n">
        <v>15070</v>
      </c>
      <c r="H10" s="7" t="n">
        <v>701</v>
      </c>
      <c r="I10" s="7" t="n">
        <v>7730</v>
      </c>
      <c r="J10" s="7" t="n">
        <v>1583</v>
      </c>
      <c r="K10" s="8" t="inlineStr">
        <is>
          <t>Aug 2023</t>
        </is>
      </c>
    </row>
    <row r="11">
      <c r="A11" s="3" t="inlineStr">
        <is>
          <t>STMicro</t>
        </is>
      </c>
      <c r="B11" s="4" t="n">
        <v>17290</v>
      </c>
      <c r="C11" s="4" t="n">
        <v>8012</v>
      </c>
      <c r="D11" s="4" t="n">
        <v>2100</v>
      </c>
      <c r="E11" s="4" t="n">
        <v>2980</v>
      </c>
      <c r="F11" s="4" t="n">
        <v>4180</v>
      </c>
      <c r="G11" s="4" t="n">
        <v>11180</v>
      </c>
      <c r="H11" s="4" t="n">
        <v>1204</v>
      </c>
      <c r="I11" s="4" t="n">
        <v>4900</v>
      </c>
      <c r="J11" s="4" t="n">
        <v>4240</v>
      </c>
      <c r="K11" s="5" t="inlineStr">
        <is>
          <t>Dec 2023</t>
        </is>
      </c>
    </row>
    <row r="12">
      <c r="A12" s="6" t="inlineStr">
        <is>
          <t>Infineon</t>
        </is>
      </c>
      <c r="B12" s="7" t="n">
        <v>17400</v>
      </c>
      <c r="C12" s="7" t="n">
        <v>9295</v>
      </c>
      <c r="D12" s="7" t="n">
        <v>1563</v>
      </c>
      <c r="E12" s="7" t="n">
        <v>4050</v>
      </c>
      <c r="F12" s="7" t="n">
        <v>4761</v>
      </c>
      <c r="G12" s="7" t="n">
        <v>12800</v>
      </c>
      <c r="H12" s="7" t="n">
        <v>1089</v>
      </c>
      <c r="I12" s="7" t="n">
        <v>6932</v>
      </c>
      <c r="J12" s="7" t="n">
        <v>3984</v>
      </c>
      <c r="K12" s="8" t="inlineStr">
        <is>
          <t>Sep 2023</t>
        </is>
      </c>
    </row>
    <row r="14">
      <c r="A14" s="9" t="inlineStr">
        <is>
          <t>Sources: AMD/Intel/TXN/NVIDIA/Qualcomm/NXP/Micron → SEC EDGAR 10-K FY2023. TSMC → 20-F (TWD→USD @31.2). STMicro/Infineon → 20-F / Annual Report (EUR→USD @1.065). NVIDIA FY ends Jan-2024 | Qualcomm &amp; Infineon FY end Sep-2023 | Micron FY ends Aug-2023.</t>
        </is>
      </c>
    </row>
  </sheetData>
  <mergeCells count="2">
    <mergeCell ref="A14:K14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6" customWidth="1" min="3" max="3"/>
    <col width="15" customWidth="1" min="4" max="4"/>
    <col width="12" customWidth="1" min="5" max="5"/>
    <col width="12" customWidth="1" min="6" max="6"/>
    <col width="15" customWidth="1" min="7" max="7"/>
    <col width="12" customWidth="1" min="8" max="8"/>
    <col width="15" customWidth="1" min="9" max="9"/>
    <col width="15" customWidth="1" min="10" max="10"/>
    <col width="12" customWidth="1" min="11" max="11"/>
    <col width="10" customWidth="1" min="12" max="12"/>
    <col width="10" customWidth="1" min="13" max="13"/>
  </cols>
  <sheetData>
    <row r="1" ht="22" customHeight="1">
      <c r="A1" s="1" t="inlineStr">
        <is>
          <t>Working Capital &amp; Net Working Capital Analysis — All values computed via formulas referencing Raw_Data</t>
        </is>
      </c>
    </row>
    <row r="2" ht="50" customHeight="1">
      <c r="A2" s="2" t="inlineStr">
        <is>
          <t>Company</t>
        </is>
      </c>
      <c r="B2" s="2" t="inlineStr">
        <is>
          <t>Total Current
Assets ($M)
[=Raw_Data!G]</t>
        </is>
      </c>
      <c r="C2" s="2" t="inlineStr">
        <is>
          <t>Total Current
Liabilities ($M)
[=Raw_Data!I]</t>
        </is>
      </c>
      <c r="D2" s="2" t="inlineStr">
        <is>
          <t>Working Capital
($M)
[=TCA – TCL]</t>
        </is>
      </c>
      <c r="E2" s="2" t="inlineStr">
        <is>
          <t>Revenue
($M)
[=Raw_Data!B]</t>
        </is>
      </c>
      <c r="F2" s="2" t="inlineStr">
        <is>
          <t>WC as %
Revenue
[=WC÷Rev]</t>
        </is>
      </c>
      <c r="G2" s="2" t="inlineStr">
        <is>
          <t>Accounts
Receivable ($M)
[=Raw_Data!D]</t>
        </is>
      </c>
      <c r="H2" s="2" t="inlineStr">
        <is>
          <t>Inventory
($M)
[=Raw_Data!E]</t>
        </is>
      </c>
      <c r="I2" s="2" t="inlineStr">
        <is>
          <t>Accounts
Payable ($M)
[=Raw_Data!H]</t>
        </is>
      </c>
      <c r="J2" s="2" t="inlineStr">
        <is>
          <t>Operational NWC
($M)
[=AR+Inv–AP]</t>
        </is>
      </c>
      <c r="K2" s="2" t="inlineStr">
        <is>
          <t>NWC as %
Revenue
[=NWC÷Rev]</t>
        </is>
      </c>
      <c r="L2" s="2" t="inlineStr">
        <is>
          <t>WC/Rev
Rank
(1=Best)</t>
        </is>
      </c>
      <c r="M2" s="2" t="inlineStr">
        <is>
          <t>NWC/Rev
Rank
(1=Best)</t>
        </is>
      </c>
    </row>
    <row r="3">
      <c r="A3" s="10">
        <f>Raw_Data!A3</f>
        <v/>
      </c>
      <c r="B3" s="4">
        <f>Raw_Data!G3</f>
        <v/>
      </c>
      <c r="C3" s="4">
        <f>Raw_Data!I3</f>
        <v/>
      </c>
      <c r="D3" s="4">
        <f>B3-C3</f>
        <v/>
      </c>
      <c r="E3" s="4">
        <f>Raw_Data!B3</f>
        <v/>
      </c>
      <c r="F3" s="11">
        <f>D3/E3</f>
        <v/>
      </c>
      <c r="G3" s="4">
        <f>Raw_Data!D3</f>
        <v/>
      </c>
      <c r="H3" s="4">
        <f>Raw_Data!E3</f>
        <v/>
      </c>
      <c r="I3" s="4">
        <f>Raw_Data!H3</f>
        <v/>
      </c>
      <c r="J3" s="4">
        <f>G3+H3-I3</f>
        <v/>
      </c>
      <c r="K3" s="11">
        <f>J3/E3</f>
        <v/>
      </c>
      <c r="L3" s="12">
        <f>RANK(F3,$F$3:$F$12,1)</f>
        <v/>
      </c>
      <c r="M3" s="12">
        <f>RANK(K3,$K$3:$K$12,1)</f>
        <v/>
      </c>
    </row>
    <row r="4">
      <c r="A4" s="13">
        <f>Raw_Data!A4</f>
        <v/>
      </c>
      <c r="B4" s="7">
        <f>Raw_Data!G4</f>
        <v/>
      </c>
      <c r="C4" s="7">
        <f>Raw_Data!I4</f>
        <v/>
      </c>
      <c r="D4" s="7">
        <f>B4-C4</f>
        <v/>
      </c>
      <c r="E4" s="7">
        <f>Raw_Data!B4</f>
        <v/>
      </c>
      <c r="F4" s="14">
        <f>D4/E4</f>
        <v/>
      </c>
      <c r="G4" s="7">
        <f>Raw_Data!D4</f>
        <v/>
      </c>
      <c r="H4" s="7">
        <f>Raw_Data!E4</f>
        <v/>
      </c>
      <c r="I4" s="7">
        <f>Raw_Data!H4</f>
        <v/>
      </c>
      <c r="J4" s="7">
        <f>G4+H4-I4</f>
        <v/>
      </c>
      <c r="K4" s="14">
        <f>J4/E4</f>
        <v/>
      </c>
      <c r="L4" s="15">
        <f>RANK(F4,$F$3:$F$12,1)</f>
        <v/>
      </c>
      <c r="M4" s="15">
        <f>RANK(K4,$K$3:$K$12,1)</f>
        <v/>
      </c>
    </row>
    <row r="5">
      <c r="A5" s="10">
        <f>Raw_Data!A5</f>
        <v/>
      </c>
      <c r="B5" s="4">
        <f>Raw_Data!G5</f>
        <v/>
      </c>
      <c r="C5" s="4">
        <f>Raw_Data!I5</f>
        <v/>
      </c>
      <c r="D5" s="4">
        <f>B5-C5</f>
        <v/>
      </c>
      <c r="E5" s="4">
        <f>Raw_Data!B5</f>
        <v/>
      </c>
      <c r="F5" s="11">
        <f>D5/E5</f>
        <v/>
      </c>
      <c r="G5" s="4">
        <f>Raw_Data!D5</f>
        <v/>
      </c>
      <c r="H5" s="4">
        <f>Raw_Data!E5</f>
        <v/>
      </c>
      <c r="I5" s="4">
        <f>Raw_Data!H5</f>
        <v/>
      </c>
      <c r="J5" s="4">
        <f>G5+H5-I5</f>
        <v/>
      </c>
      <c r="K5" s="11">
        <f>J5/E5</f>
        <v/>
      </c>
      <c r="L5" s="12">
        <f>RANK(F5,$F$3:$F$12,1)</f>
        <v/>
      </c>
      <c r="M5" s="12">
        <f>RANK(K5,$K$3:$K$12,1)</f>
        <v/>
      </c>
    </row>
    <row r="6">
      <c r="A6" s="13">
        <f>Raw_Data!A6</f>
        <v/>
      </c>
      <c r="B6" s="7">
        <f>Raw_Data!G6</f>
        <v/>
      </c>
      <c r="C6" s="7">
        <f>Raw_Data!I6</f>
        <v/>
      </c>
      <c r="D6" s="7">
        <f>B6-C6</f>
        <v/>
      </c>
      <c r="E6" s="7">
        <f>Raw_Data!B6</f>
        <v/>
      </c>
      <c r="F6" s="14">
        <f>D6/E6</f>
        <v/>
      </c>
      <c r="G6" s="7">
        <f>Raw_Data!D6</f>
        <v/>
      </c>
      <c r="H6" s="7">
        <f>Raw_Data!E6</f>
        <v/>
      </c>
      <c r="I6" s="7">
        <f>Raw_Data!H6</f>
        <v/>
      </c>
      <c r="J6" s="7">
        <f>G6+H6-I6</f>
        <v/>
      </c>
      <c r="K6" s="14">
        <f>J6/E6</f>
        <v/>
      </c>
      <c r="L6" s="15">
        <f>RANK(F6,$F$3:$F$12,1)</f>
        <v/>
      </c>
      <c r="M6" s="15">
        <f>RANK(K6,$K$3:$K$12,1)</f>
        <v/>
      </c>
    </row>
    <row r="7">
      <c r="A7" s="10">
        <f>Raw_Data!A7</f>
        <v/>
      </c>
      <c r="B7" s="4">
        <f>Raw_Data!G7</f>
        <v/>
      </c>
      <c r="C7" s="4">
        <f>Raw_Data!I7</f>
        <v/>
      </c>
      <c r="D7" s="4">
        <f>B7-C7</f>
        <v/>
      </c>
      <c r="E7" s="4">
        <f>Raw_Data!B7</f>
        <v/>
      </c>
      <c r="F7" s="11">
        <f>D7/E7</f>
        <v/>
      </c>
      <c r="G7" s="4">
        <f>Raw_Data!D7</f>
        <v/>
      </c>
      <c r="H7" s="4">
        <f>Raw_Data!E7</f>
        <v/>
      </c>
      <c r="I7" s="4">
        <f>Raw_Data!H7</f>
        <v/>
      </c>
      <c r="J7" s="4">
        <f>G7+H7-I7</f>
        <v/>
      </c>
      <c r="K7" s="11">
        <f>J7/E7</f>
        <v/>
      </c>
      <c r="L7" s="12">
        <f>RANK(F7,$F$3:$F$12,1)</f>
        <v/>
      </c>
      <c r="M7" s="12">
        <f>RANK(K7,$K$3:$K$12,1)</f>
        <v/>
      </c>
    </row>
    <row r="8">
      <c r="A8" s="13">
        <f>Raw_Data!A8</f>
        <v/>
      </c>
      <c r="B8" s="7">
        <f>Raw_Data!G8</f>
        <v/>
      </c>
      <c r="C8" s="7">
        <f>Raw_Data!I8</f>
        <v/>
      </c>
      <c r="D8" s="7">
        <f>B8-C8</f>
        <v/>
      </c>
      <c r="E8" s="7">
        <f>Raw_Data!B8</f>
        <v/>
      </c>
      <c r="F8" s="14">
        <f>D8/E8</f>
        <v/>
      </c>
      <c r="G8" s="7">
        <f>Raw_Data!D8</f>
        <v/>
      </c>
      <c r="H8" s="7">
        <f>Raw_Data!E8</f>
        <v/>
      </c>
      <c r="I8" s="7">
        <f>Raw_Data!H8</f>
        <v/>
      </c>
      <c r="J8" s="7">
        <f>G8+H8-I8</f>
        <v/>
      </c>
      <c r="K8" s="14">
        <f>J8/E8</f>
        <v/>
      </c>
      <c r="L8" s="15">
        <f>RANK(F8,$F$3:$F$12,1)</f>
        <v/>
      </c>
      <c r="M8" s="15">
        <f>RANK(K8,$K$3:$K$12,1)</f>
        <v/>
      </c>
    </row>
    <row r="9">
      <c r="A9" s="10">
        <f>Raw_Data!A9</f>
        <v/>
      </c>
      <c r="B9" s="4">
        <f>Raw_Data!G9</f>
        <v/>
      </c>
      <c r="C9" s="4">
        <f>Raw_Data!I9</f>
        <v/>
      </c>
      <c r="D9" s="4">
        <f>B9-C9</f>
        <v/>
      </c>
      <c r="E9" s="4">
        <f>Raw_Data!B9</f>
        <v/>
      </c>
      <c r="F9" s="11">
        <f>D9/E9</f>
        <v/>
      </c>
      <c r="G9" s="4">
        <f>Raw_Data!D9</f>
        <v/>
      </c>
      <c r="H9" s="4">
        <f>Raw_Data!E9</f>
        <v/>
      </c>
      <c r="I9" s="4">
        <f>Raw_Data!H9</f>
        <v/>
      </c>
      <c r="J9" s="4">
        <f>G9+H9-I9</f>
        <v/>
      </c>
      <c r="K9" s="11">
        <f>J9/E9</f>
        <v/>
      </c>
      <c r="L9" s="12">
        <f>RANK(F9,$F$3:$F$12,1)</f>
        <v/>
      </c>
      <c r="M9" s="12">
        <f>RANK(K9,$K$3:$K$12,1)</f>
        <v/>
      </c>
    </row>
    <row r="10">
      <c r="A10" s="13">
        <f>Raw_Data!A10</f>
        <v/>
      </c>
      <c r="B10" s="7">
        <f>Raw_Data!G10</f>
        <v/>
      </c>
      <c r="C10" s="7">
        <f>Raw_Data!I10</f>
        <v/>
      </c>
      <c r="D10" s="7">
        <f>B10-C10</f>
        <v/>
      </c>
      <c r="E10" s="7">
        <f>Raw_Data!B10</f>
        <v/>
      </c>
      <c r="F10" s="14">
        <f>D10/E10</f>
        <v/>
      </c>
      <c r="G10" s="7">
        <f>Raw_Data!D10</f>
        <v/>
      </c>
      <c r="H10" s="7">
        <f>Raw_Data!E10</f>
        <v/>
      </c>
      <c r="I10" s="7">
        <f>Raw_Data!H10</f>
        <v/>
      </c>
      <c r="J10" s="7">
        <f>G10+H10-I10</f>
        <v/>
      </c>
      <c r="K10" s="14">
        <f>J10/E10</f>
        <v/>
      </c>
      <c r="L10" s="15">
        <f>RANK(F10,$F$3:$F$12,1)</f>
        <v/>
      </c>
      <c r="M10" s="15">
        <f>RANK(K10,$K$3:$K$12,1)</f>
        <v/>
      </c>
    </row>
    <row r="11">
      <c r="A11" s="10">
        <f>Raw_Data!A11</f>
        <v/>
      </c>
      <c r="B11" s="4">
        <f>Raw_Data!G11</f>
        <v/>
      </c>
      <c r="C11" s="4">
        <f>Raw_Data!I11</f>
        <v/>
      </c>
      <c r="D11" s="4">
        <f>B11-C11</f>
        <v/>
      </c>
      <c r="E11" s="4">
        <f>Raw_Data!B11</f>
        <v/>
      </c>
      <c r="F11" s="11">
        <f>D11/E11</f>
        <v/>
      </c>
      <c r="G11" s="4">
        <f>Raw_Data!D11</f>
        <v/>
      </c>
      <c r="H11" s="4">
        <f>Raw_Data!E11</f>
        <v/>
      </c>
      <c r="I11" s="4">
        <f>Raw_Data!H11</f>
        <v/>
      </c>
      <c r="J11" s="4">
        <f>G11+H11-I11</f>
        <v/>
      </c>
      <c r="K11" s="11">
        <f>J11/E11</f>
        <v/>
      </c>
      <c r="L11" s="12">
        <f>RANK(F11,$F$3:$F$12,1)</f>
        <v/>
      </c>
      <c r="M11" s="12">
        <f>RANK(K11,$K$3:$K$12,1)</f>
        <v/>
      </c>
    </row>
    <row r="12">
      <c r="A12" s="13">
        <f>Raw_Data!A12</f>
        <v/>
      </c>
      <c r="B12" s="7">
        <f>Raw_Data!G12</f>
        <v/>
      </c>
      <c r="C12" s="7">
        <f>Raw_Data!I12</f>
        <v/>
      </c>
      <c r="D12" s="7">
        <f>B12-C12</f>
        <v/>
      </c>
      <c r="E12" s="7">
        <f>Raw_Data!B12</f>
        <v/>
      </c>
      <c r="F12" s="14">
        <f>D12/E12</f>
        <v/>
      </c>
      <c r="G12" s="7">
        <f>Raw_Data!D12</f>
        <v/>
      </c>
      <c r="H12" s="7">
        <f>Raw_Data!E12</f>
        <v/>
      </c>
      <c r="I12" s="7">
        <f>Raw_Data!H12</f>
        <v/>
      </c>
      <c r="J12" s="7">
        <f>G12+H12-I12</f>
        <v/>
      </c>
      <c r="K12" s="14">
        <f>J12/E12</f>
        <v/>
      </c>
      <c r="L12" s="15">
        <f>RANK(F12,$F$3:$F$12,1)</f>
        <v/>
      </c>
      <c r="M12" s="15">
        <f>RANK(K12,$K$3:$K$12,1)</f>
        <v/>
      </c>
    </row>
    <row r="14">
      <c r="A14" s="16" t="inlineStr">
        <is>
          <t xml:space="preserve">Best-in-Class WC/Rev  → </t>
        </is>
      </c>
      <c r="F14" s="17">
        <f>MIN(F3:F12)</f>
        <v/>
      </c>
    </row>
    <row r="15">
      <c r="A15" s="16" t="inlineStr">
        <is>
          <t>Best-in-Class NWC/Rev →</t>
        </is>
      </c>
      <c r="K15" s="17">
        <f>MIN(K3:K12)</f>
        <v/>
      </c>
    </row>
    <row r="16">
      <c r="A16" s="9" t="inlineStr">
        <is>
          <t>Best-in-Class = Lowest WC/Revenue &amp; NWC/Revenue (less capital tied up per $ of revenue). WC includes cash (financing decision). Operational NWC = AR + Inventory – AP (operations only).</t>
        </is>
      </c>
    </row>
  </sheetData>
  <mergeCells count="4">
    <mergeCell ref="A15:E15"/>
    <mergeCell ref="A16:M16"/>
    <mergeCell ref="A1:M1"/>
    <mergeCell ref="A14:E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3" customWidth="1" min="7" max="7"/>
    <col width="13" customWidth="1" min="8" max="8"/>
    <col width="11" customWidth="1" min="9" max="9"/>
    <col width="13" customWidth="1" min="10" max="10"/>
    <col width="13" customWidth="1" min="11" max="11"/>
    <col width="13" customWidth="1" min="12" max="12"/>
    <col width="12" customWidth="1" min="13" max="13"/>
    <col width="10" customWidth="1" min="14" max="14"/>
    <col width="10" customWidth="1" min="15" max="15"/>
  </cols>
  <sheetData>
    <row r="1" ht="22" customHeight="1">
      <c r="A1" s="1" t="inlineStr">
        <is>
          <t>Efficiency Metrics: DSO | DIO | DPO | CCC | AR Turns | Cash Return Ratio — All formulas reference Raw_Data</t>
        </is>
      </c>
    </row>
    <row r="2" ht="55" customHeight="1">
      <c r="A2" s="2" t="inlineStr">
        <is>
          <t>Company</t>
        </is>
      </c>
      <c r="B2" s="2" t="inlineStr">
        <is>
          <t>Revenue
($M)</t>
        </is>
      </c>
      <c r="C2" s="2" t="inlineStr">
        <is>
          <t>COGS
($M)</t>
        </is>
      </c>
      <c r="D2" s="2" t="inlineStr">
        <is>
          <t>Accounts
Receivable ($M)</t>
        </is>
      </c>
      <c r="E2" s="2" t="inlineStr">
        <is>
          <t>Inventory
($M)</t>
        </is>
      </c>
      <c r="F2" s="2" t="inlineStr">
        <is>
          <t>Accounts
Payable ($M)</t>
        </is>
      </c>
      <c r="G2" s="2" t="inlineStr">
        <is>
          <t>Op. Cash
Flow ($M)</t>
        </is>
      </c>
      <c r="H2" s="2" t="inlineStr">
        <is>
          <t>DSO (days)
[=AR÷Rev×365]
(lower=better)</t>
        </is>
      </c>
      <c r="I2" s="2" t="inlineStr">
        <is>
          <t>AR Turns
[=Rev÷AR]
(higher=better)</t>
        </is>
      </c>
      <c r="J2" s="2" t="inlineStr">
        <is>
          <t>DIO (days)
[=Inv÷COGS×365]
(lower=better)</t>
        </is>
      </c>
      <c r="K2" s="2" t="inlineStr">
        <is>
          <t>DPO (days)
[=AP÷COGS×365]
(higher=better)</t>
        </is>
      </c>
      <c r="L2" s="2" t="inlineStr">
        <is>
          <t>CCC (days)
[=DSO+DIO–DPO]
(lower=better)</t>
        </is>
      </c>
      <c r="M2" s="2" t="inlineStr">
        <is>
          <t>Cash Return
Ratio
[=OCF÷Rev]
(higher=better)</t>
        </is>
      </c>
      <c r="N2" s="2" t="inlineStr">
        <is>
          <t>DSO
Rank
(1=Best)</t>
        </is>
      </c>
      <c r="O2" s="2" t="inlineStr">
        <is>
          <t>CRR
Rank
(1=Best)</t>
        </is>
      </c>
    </row>
    <row r="3">
      <c r="A3" s="10">
        <f>Raw_Data!A3</f>
        <v/>
      </c>
      <c r="B3" s="4">
        <f>Raw_Data!B3</f>
        <v/>
      </c>
      <c r="C3" s="4">
        <f>Raw_Data!C3</f>
        <v/>
      </c>
      <c r="D3" s="4">
        <f>Raw_Data!D3</f>
        <v/>
      </c>
      <c r="E3" s="4">
        <f>Raw_Data!E3</f>
        <v/>
      </c>
      <c r="F3" s="4">
        <f>Raw_Data!H3</f>
        <v/>
      </c>
      <c r="G3" s="4">
        <f>Raw_Data!J3</f>
        <v/>
      </c>
      <c r="H3" s="18">
        <f>D3/B3*365</f>
        <v/>
      </c>
      <c r="I3" s="18">
        <f>B3/D3</f>
        <v/>
      </c>
      <c r="J3" s="18">
        <f>E3/C3*365</f>
        <v/>
      </c>
      <c r="K3" s="18">
        <f>F3/C3*365</f>
        <v/>
      </c>
      <c r="L3" s="18">
        <f>H3+J3-K3</f>
        <v/>
      </c>
      <c r="M3" s="11">
        <f>G3/B3</f>
        <v/>
      </c>
      <c r="N3" s="12">
        <f>RANK(H3,$H$3:$H$12,1)</f>
        <v/>
      </c>
      <c r="O3" s="12">
        <f>RANK(M3,$M$3:$M$12,0)</f>
        <v/>
      </c>
    </row>
    <row r="4">
      <c r="A4" s="13">
        <f>Raw_Data!A4</f>
        <v/>
      </c>
      <c r="B4" s="7">
        <f>Raw_Data!B4</f>
        <v/>
      </c>
      <c r="C4" s="7">
        <f>Raw_Data!C4</f>
        <v/>
      </c>
      <c r="D4" s="7">
        <f>Raw_Data!D4</f>
        <v/>
      </c>
      <c r="E4" s="7">
        <f>Raw_Data!E4</f>
        <v/>
      </c>
      <c r="F4" s="7">
        <f>Raw_Data!H4</f>
        <v/>
      </c>
      <c r="G4" s="7">
        <f>Raw_Data!J4</f>
        <v/>
      </c>
      <c r="H4" s="19">
        <f>D4/B4*365</f>
        <v/>
      </c>
      <c r="I4" s="19">
        <f>B4/D4</f>
        <v/>
      </c>
      <c r="J4" s="19">
        <f>E4/C4*365</f>
        <v/>
      </c>
      <c r="K4" s="19">
        <f>F4/C4*365</f>
        <v/>
      </c>
      <c r="L4" s="19">
        <f>H4+J4-K4</f>
        <v/>
      </c>
      <c r="M4" s="14">
        <f>G4/B4</f>
        <v/>
      </c>
      <c r="N4" s="15">
        <f>RANK(H4,$H$3:$H$12,1)</f>
        <v/>
      </c>
      <c r="O4" s="15">
        <f>RANK(M4,$M$3:$M$12,0)</f>
        <v/>
      </c>
    </row>
    <row r="5">
      <c r="A5" s="10">
        <f>Raw_Data!A5</f>
        <v/>
      </c>
      <c r="B5" s="4">
        <f>Raw_Data!B5</f>
        <v/>
      </c>
      <c r="C5" s="4">
        <f>Raw_Data!C5</f>
        <v/>
      </c>
      <c r="D5" s="4">
        <f>Raw_Data!D5</f>
        <v/>
      </c>
      <c r="E5" s="4">
        <f>Raw_Data!E5</f>
        <v/>
      </c>
      <c r="F5" s="4">
        <f>Raw_Data!H5</f>
        <v/>
      </c>
      <c r="G5" s="4">
        <f>Raw_Data!J5</f>
        <v/>
      </c>
      <c r="H5" s="18">
        <f>D5/B5*365</f>
        <v/>
      </c>
      <c r="I5" s="18">
        <f>B5/D5</f>
        <v/>
      </c>
      <c r="J5" s="18">
        <f>E5/C5*365</f>
        <v/>
      </c>
      <c r="K5" s="18">
        <f>F5/C5*365</f>
        <v/>
      </c>
      <c r="L5" s="18">
        <f>H5+J5-K5</f>
        <v/>
      </c>
      <c r="M5" s="11">
        <f>G5/B5</f>
        <v/>
      </c>
      <c r="N5" s="12">
        <f>RANK(H5,$H$3:$H$12,1)</f>
        <v/>
      </c>
      <c r="O5" s="12">
        <f>RANK(M5,$M$3:$M$12,0)</f>
        <v/>
      </c>
    </row>
    <row r="6">
      <c r="A6" s="13">
        <f>Raw_Data!A6</f>
        <v/>
      </c>
      <c r="B6" s="7">
        <f>Raw_Data!B6</f>
        <v/>
      </c>
      <c r="C6" s="7">
        <f>Raw_Data!C6</f>
        <v/>
      </c>
      <c r="D6" s="7">
        <f>Raw_Data!D6</f>
        <v/>
      </c>
      <c r="E6" s="7">
        <f>Raw_Data!E6</f>
        <v/>
      </c>
      <c r="F6" s="7">
        <f>Raw_Data!H6</f>
        <v/>
      </c>
      <c r="G6" s="7">
        <f>Raw_Data!J6</f>
        <v/>
      </c>
      <c r="H6" s="19">
        <f>D6/B6*365</f>
        <v/>
      </c>
      <c r="I6" s="19">
        <f>B6/D6</f>
        <v/>
      </c>
      <c r="J6" s="19">
        <f>E6/C6*365</f>
        <v/>
      </c>
      <c r="K6" s="19">
        <f>F6/C6*365</f>
        <v/>
      </c>
      <c r="L6" s="19">
        <f>H6+J6-K6</f>
        <v/>
      </c>
      <c r="M6" s="14">
        <f>G6/B6</f>
        <v/>
      </c>
      <c r="N6" s="15">
        <f>RANK(H6,$H$3:$H$12,1)</f>
        <v/>
      </c>
      <c r="O6" s="15">
        <f>RANK(M6,$M$3:$M$12,0)</f>
        <v/>
      </c>
    </row>
    <row r="7">
      <c r="A7" s="10">
        <f>Raw_Data!A7</f>
        <v/>
      </c>
      <c r="B7" s="4">
        <f>Raw_Data!B7</f>
        <v/>
      </c>
      <c r="C7" s="4">
        <f>Raw_Data!C7</f>
        <v/>
      </c>
      <c r="D7" s="4">
        <f>Raw_Data!D7</f>
        <v/>
      </c>
      <c r="E7" s="4">
        <f>Raw_Data!E7</f>
        <v/>
      </c>
      <c r="F7" s="4">
        <f>Raw_Data!H7</f>
        <v/>
      </c>
      <c r="G7" s="4">
        <f>Raw_Data!J7</f>
        <v/>
      </c>
      <c r="H7" s="18">
        <f>D7/B7*365</f>
        <v/>
      </c>
      <c r="I7" s="18">
        <f>B7/D7</f>
        <v/>
      </c>
      <c r="J7" s="18">
        <f>E7/C7*365</f>
        <v/>
      </c>
      <c r="K7" s="18">
        <f>F7/C7*365</f>
        <v/>
      </c>
      <c r="L7" s="18">
        <f>H7+J7-K7</f>
        <v/>
      </c>
      <c r="M7" s="11">
        <f>G7/B7</f>
        <v/>
      </c>
      <c r="N7" s="12">
        <f>RANK(H7,$H$3:$H$12,1)</f>
        <v/>
      </c>
      <c r="O7" s="12">
        <f>RANK(M7,$M$3:$M$12,0)</f>
        <v/>
      </c>
    </row>
    <row r="8">
      <c r="A8" s="13">
        <f>Raw_Data!A8</f>
        <v/>
      </c>
      <c r="B8" s="7">
        <f>Raw_Data!B8</f>
        <v/>
      </c>
      <c r="C8" s="7">
        <f>Raw_Data!C8</f>
        <v/>
      </c>
      <c r="D8" s="7">
        <f>Raw_Data!D8</f>
        <v/>
      </c>
      <c r="E8" s="7">
        <f>Raw_Data!E8</f>
        <v/>
      </c>
      <c r="F8" s="7">
        <f>Raw_Data!H8</f>
        <v/>
      </c>
      <c r="G8" s="7">
        <f>Raw_Data!J8</f>
        <v/>
      </c>
      <c r="H8" s="19">
        <f>D8/B8*365</f>
        <v/>
      </c>
      <c r="I8" s="19">
        <f>B8/D8</f>
        <v/>
      </c>
      <c r="J8" s="19">
        <f>E8/C8*365</f>
        <v/>
      </c>
      <c r="K8" s="19">
        <f>F8/C8*365</f>
        <v/>
      </c>
      <c r="L8" s="19">
        <f>H8+J8-K8</f>
        <v/>
      </c>
      <c r="M8" s="14">
        <f>G8/B8</f>
        <v/>
      </c>
      <c r="N8" s="15">
        <f>RANK(H8,$H$3:$H$12,1)</f>
        <v/>
      </c>
      <c r="O8" s="15">
        <f>RANK(M8,$M$3:$M$12,0)</f>
        <v/>
      </c>
    </row>
    <row r="9">
      <c r="A9" s="10">
        <f>Raw_Data!A9</f>
        <v/>
      </c>
      <c r="B9" s="4">
        <f>Raw_Data!B9</f>
        <v/>
      </c>
      <c r="C9" s="4">
        <f>Raw_Data!C9</f>
        <v/>
      </c>
      <c r="D9" s="4">
        <f>Raw_Data!D9</f>
        <v/>
      </c>
      <c r="E9" s="4">
        <f>Raw_Data!E9</f>
        <v/>
      </c>
      <c r="F9" s="4">
        <f>Raw_Data!H9</f>
        <v/>
      </c>
      <c r="G9" s="4">
        <f>Raw_Data!J9</f>
        <v/>
      </c>
      <c r="H9" s="18">
        <f>D9/B9*365</f>
        <v/>
      </c>
      <c r="I9" s="18">
        <f>B9/D9</f>
        <v/>
      </c>
      <c r="J9" s="18">
        <f>E9/C9*365</f>
        <v/>
      </c>
      <c r="K9" s="18">
        <f>F9/C9*365</f>
        <v/>
      </c>
      <c r="L9" s="18">
        <f>H9+J9-K9</f>
        <v/>
      </c>
      <c r="M9" s="11">
        <f>G9/B9</f>
        <v/>
      </c>
      <c r="N9" s="12">
        <f>RANK(H9,$H$3:$H$12,1)</f>
        <v/>
      </c>
      <c r="O9" s="12">
        <f>RANK(M9,$M$3:$M$12,0)</f>
        <v/>
      </c>
    </row>
    <row r="10">
      <c r="A10" s="13">
        <f>Raw_Data!A10</f>
        <v/>
      </c>
      <c r="B10" s="7">
        <f>Raw_Data!B10</f>
        <v/>
      </c>
      <c r="C10" s="7">
        <f>Raw_Data!C10</f>
        <v/>
      </c>
      <c r="D10" s="7">
        <f>Raw_Data!D10</f>
        <v/>
      </c>
      <c r="E10" s="7">
        <f>Raw_Data!E10</f>
        <v/>
      </c>
      <c r="F10" s="7">
        <f>Raw_Data!H10</f>
        <v/>
      </c>
      <c r="G10" s="7">
        <f>Raw_Data!J10</f>
        <v/>
      </c>
      <c r="H10" s="19">
        <f>D10/B10*365</f>
        <v/>
      </c>
      <c r="I10" s="19">
        <f>B10/D10</f>
        <v/>
      </c>
      <c r="J10" s="19">
        <f>E10/C10*365</f>
        <v/>
      </c>
      <c r="K10" s="19">
        <f>F10/C10*365</f>
        <v/>
      </c>
      <c r="L10" s="19">
        <f>H10+J10-K10</f>
        <v/>
      </c>
      <c r="M10" s="14">
        <f>G10/B10</f>
        <v/>
      </c>
      <c r="N10" s="15">
        <f>RANK(H10,$H$3:$H$12,1)</f>
        <v/>
      </c>
      <c r="O10" s="15">
        <f>RANK(M10,$M$3:$M$12,0)</f>
        <v/>
      </c>
    </row>
    <row r="11">
      <c r="A11" s="10">
        <f>Raw_Data!A11</f>
        <v/>
      </c>
      <c r="B11" s="4">
        <f>Raw_Data!B11</f>
        <v/>
      </c>
      <c r="C11" s="4">
        <f>Raw_Data!C11</f>
        <v/>
      </c>
      <c r="D11" s="4">
        <f>Raw_Data!D11</f>
        <v/>
      </c>
      <c r="E11" s="4">
        <f>Raw_Data!E11</f>
        <v/>
      </c>
      <c r="F11" s="4">
        <f>Raw_Data!H11</f>
        <v/>
      </c>
      <c r="G11" s="4">
        <f>Raw_Data!J11</f>
        <v/>
      </c>
      <c r="H11" s="18">
        <f>D11/B11*365</f>
        <v/>
      </c>
      <c r="I11" s="18">
        <f>B11/D11</f>
        <v/>
      </c>
      <c r="J11" s="18">
        <f>E11/C11*365</f>
        <v/>
      </c>
      <c r="K11" s="18">
        <f>F11/C11*365</f>
        <v/>
      </c>
      <c r="L11" s="18">
        <f>H11+J11-K11</f>
        <v/>
      </c>
      <c r="M11" s="11">
        <f>G11/B11</f>
        <v/>
      </c>
      <c r="N11" s="12">
        <f>RANK(H11,$H$3:$H$12,1)</f>
        <v/>
      </c>
      <c r="O11" s="12">
        <f>RANK(M11,$M$3:$M$12,0)</f>
        <v/>
      </c>
    </row>
    <row r="12">
      <c r="A12" s="13">
        <f>Raw_Data!A12</f>
        <v/>
      </c>
      <c r="B12" s="7">
        <f>Raw_Data!B12</f>
        <v/>
      </c>
      <c r="C12" s="7">
        <f>Raw_Data!C12</f>
        <v/>
      </c>
      <c r="D12" s="7">
        <f>Raw_Data!D12</f>
        <v/>
      </c>
      <c r="E12" s="7">
        <f>Raw_Data!E12</f>
        <v/>
      </c>
      <c r="F12" s="7">
        <f>Raw_Data!H12</f>
        <v/>
      </c>
      <c r="G12" s="7">
        <f>Raw_Data!J12</f>
        <v/>
      </c>
      <c r="H12" s="19">
        <f>D12/B12*365</f>
        <v/>
      </c>
      <c r="I12" s="19">
        <f>B12/D12</f>
        <v/>
      </c>
      <c r="J12" s="19">
        <f>E12/C12*365</f>
        <v/>
      </c>
      <c r="K12" s="19">
        <f>F12/C12*365</f>
        <v/>
      </c>
      <c r="L12" s="19">
        <f>H12+J12-K12</f>
        <v/>
      </c>
      <c r="M12" s="14">
        <f>G12/B12</f>
        <v/>
      </c>
      <c r="N12" s="15">
        <f>RANK(H12,$H$3:$H$12,1)</f>
        <v/>
      </c>
      <c r="O12" s="15">
        <f>RANK(M12,$M$3:$M$12,0)</f>
        <v/>
      </c>
    </row>
    <row r="14">
      <c r="A14" s="16" t="inlineStr">
        <is>
          <t>Best DSO (Min):</t>
        </is>
      </c>
      <c r="H14" s="20">
        <f>MIN(H3:H12)</f>
        <v/>
      </c>
    </row>
    <row r="15">
      <c r="A15" s="16" t="inlineStr">
        <is>
          <t>Best AR Turns (Max):</t>
        </is>
      </c>
      <c r="I15" s="20">
        <f>MAX(I3:I12)</f>
        <v/>
      </c>
    </row>
    <row r="16">
      <c r="A16" s="16" t="inlineStr">
        <is>
          <t>Best DIO (Min):</t>
        </is>
      </c>
      <c r="J16" s="20">
        <f>MIN(J3:J12)</f>
        <v/>
      </c>
    </row>
    <row r="17">
      <c r="A17" s="16" t="inlineStr">
        <is>
          <t>Best DPO (Max):</t>
        </is>
      </c>
      <c r="K17" s="20">
        <f>MAX(K3:K12)</f>
        <v/>
      </c>
    </row>
    <row r="18">
      <c r="A18" s="16" t="inlineStr">
        <is>
          <t>Best CCC (Min):</t>
        </is>
      </c>
      <c r="L18" s="20">
        <f>MIN(L3:L12)</f>
        <v/>
      </c>
    </row>
    <row r="19">
      <c r="A19" s="16" t="inlineStr">
        <is>
          <t>Best CRR (Max):</t>
        </is>
      </c>
      <c r="M19" s="17">
        <f>MAX(M3:M12)</f>
        <v/>
      </c>
    </row>
    <row r="21">
      <c r="A21" s="9" t="inlineStr">
        <is>
          <t>DSO=Days Sales Outstanding | DIO=Days Inventory Outstanding | DPO=Days Payables Outstanding | CCC=Cash Conversion Cycle | AR Turns=Annualised receivable cycles | CRR=Cash Return Ratio. All computed from Raw_Data. Fiscal year timing differences exist (see Raw_Data notes).</t>
        </is>
      </c>
    </row>
  </sheetData>
  <mergeCells count="8">
    <mergeCell ref="A14:G14"/>
    <mergeCell ref="A17:G17"/>
    <mergeCell ref="A18:G18"/>
    <mergeCell ref="A1:O1"/>
    <mergeCell ref="A16:G16"/>
    <mergeCell ref="A15:G15"/>
    <mergeCell ref="A19:G19"/>
    <mergeCell ref="A21:O2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6" customWidth="1" min="6" max="6"/>
    <col width="12" customWidth="1" min="7" max="7"/>
    <col width="12" customWidth="1" min="8" max="8"/>
  </cols>
  <sheetData>
    <row r="1" ht="22" customHeight="1">
      <c r="A1" s="1" t="inlineStr">
        <is>
          <t>Overall Scoring Model — Rank-Sum Method (4 Equal-Weight Metrics | Lower Total Score = Better Overall)</t>
        </is>
      </c>
    </row>
    <row r="2" ht="50" customHeight="1">
      <c r="A2" s="2" t="inlineStr">
        <is>
          <t>Company</t>
        </is>
      </c>
      <c r="B2" s="2" t="inlineStr">
        <is>
          <t>WC/Rev
Rank
[from WC_NWC!L]</t>
        </is>
      </c>
      <c r="C2" s="2" t="inlineStr">
        <is>
          <t>NWC/Rev
Rank
[from WC_NWC!M]</t>
        </is>
      </c>
      <c r="D2" s="2" t="inlineStr">
        <is>
          <t>DSO
Rank
[from Efficiency!N]</t>
        </is>
      </c>
      <c r="E2" s="2" t="inlineStr">
        <is>
          <t>CRR
Rank
[from Efficiency!O]</t>
        </is>
      </c>
      <c r="F2" s="2" t="inlineStr">
        <is>
          <t>Total Score
[=SUM(B:E)]
Lower = Better</t>
        </is>
      </c>
      <c r="G2" s="2" t="inlineStr">
        <is>
          <t>Overall
Rank
[=RANK(...)]</t>
        </is>
      </c>
      <c r="H2" s="2" t="inlineStr">
        <is>
          <t>Quartile
[=IF(rank≤2,Q1,…)]</t>
        </is>
      </c>
    </row>
    <row r="3">
      <c r="A3" s="10">
        <f>Raw_Data!A3</f>
        <v/>
      </c>
      <c r="B3" s="12">
        <f>WC_NWC!L3</f>
        <v/>
      </c>
      <c r="C3" s="12">
        <f>WC_NWC!M3</f>
        <v/>
      </c>
      <c r="D3" s="12">
        <f>Efficiency_Metrics!N3</f>
        <v/>
      </c>
      <c r="E3" s="12">
        <f>Efficiency_Metrics!O3</f>
        <v/>
      </c>
      <c r="F3" s="12">
        <f>SUM(B3:E3)</f>
        <v/>
      </c>
      <c r="G3" s="12">
        <f>RANK(F3,$F$3:$F$12,1)</f>
        <v/>
      </c>
      <c r="H3" s="5">
        <f>IF(G3&lt;=2,"Q1",IF(G3&lt;=5,"Q2",IF(G3&lt;=7,"Q3","Q4")))</f>
        <v/>
      </c>
    </row>
    <row r="4">
      <c r="A4" s="13">
        <f>Raw_Data!A4</f>
        <v/>
      </c>
      <c r="B4" s="15">
        <f>WC_NWC!L4</f>
        <v/>
      </c>
      <c r="C4" s="15">
        <f>WC_NWC!M4</f>
        <v/>
      </c>
      <c r="D4" s="15">
        <f>Efficiency_Metrics!N4</f>
        <v/>
      </c>
      <c r="E4" s="15">
        <f>Efficiency_Metrics!O4</f>
        <v/>
      </c>
      <c r="F4" s="15">
        <f>SUM(B4:E4)</f>
        <v/>
      </c>
      <c r="G4" s="15">
        <f>RANK(F4,$F$3:$F$12,1)</f>
        <v/>
      </c>
      <c r="H4" s="8">
        <f>IF(G4&lt;=2,"Q1",IF(G4&lt;=5,"Q2",IF(G4&lt;=7,"Q3","Q4")))</f>
        <v/>
      </c>
    </row>
    <row r="5">
      <c r="A5" s="10">
        <f>Raw_Data!A5</f>
        <v/>
      </c>
      <c r="B5" s="12">
        <f>WC_NWC!L5</f>
        <v/>
      </c>
      <c r="C5" s="12">
        <f>WC_NWC!M5</f>
        <v/>
      </c>
      <c r="D5" s="12">
        <f>Efficiency_Metrics!N5</f>
        <v/>
      </c>
      <c r="E5" s="12">
        <f>Efficiency_Metrics!O5</f>
        <v/>
      </c>
      <c r="F5" s="12">
        <f>SUM(B5:E5)</f>
        <v/>
      </c>
      <c r="G5" s="12">
        <f>RANK(F5,$F$3:$F$12,1)</f>
        <v/>
      </c>
      <c r="H5" s="5">
        <f>IF(G5&lt;=2,"Q1",IF(G5&lt;=5,"Q2",IF(G5&lt;=7,"Q3","Q4")))</f>
        <v/>
      </c>
    </row>
    <row r="6">
      <c r="A6" s="13">
        <f>Raw_Data!A6</f>
        <v/>
      </c>
      <c r="B6" s="15">
        <f>WC_NWC!L6</f>
        <v/>
      </c>
      <c r="C6" s="15">
        <f>WC_NWC!M6</f>
        <v/>
      </c>
      <c r="D6" s="15">
        <f>Efficiency_Metrics!N6</f>
        <v/>
      </c>
      <c r="E6" s="15">
        <f>Efficiency_Metrics!O6</f>
        <v/>
      </c>
      <c r="F6" s="15">
        <f>SUM(B6:E6)</f>
        <v/>
      </c>
      <c r="G6" s="15">
        <f>RANK(F6,$F$3:$F$12,1)</f>
        <v/>
      </c>
      <c r="H6" s="8">
        <f>IF(G6&lt;=2,"Q1",IF(G6&lt;=5,"Q2",IF(G6&lt;=7,"Q3","Q4")))</f>
        <v/>
      </c>
    </row>
    <row r="7">
      <c r="A7" s="10">
        <f>Raw_Data!A7</f>
        <v/>
      </c>
      <c r="B7" s="12">
        <f>WC_NWC!L7</f>
        <v/>
      </c>
      <c r="C7" s="12">
        <f>WC_NWC!M7</f>
        <v/>
      </c>
      <c r="D7" s="12">
        <f>Efficiency_Metrics!N7</f>
        <v/>
      </c>
      <c r="E7" s="12">
        <f>Efficiency_Metrics!O7</f>
        <v/>
      </c>
      <c r="F7" s="12">
        <f>SUM(B7:E7)</f>
        <v/>
      </c>
      <c r="G7" s="12">
        <f>RANK(F7,$F$3:$F$12,1)</f>
        <v/>
      </c>
      <c r="H7" s="5">
        <f>IF(G7&lt;=2,"Q1",IF(G7&lt;=5,"Q2",IF(G7&lt;=7,"Q3","Q4")))</f>
        <v/>
      </c>
    </row>
    <row r="8">
      <c r="A8" s="13">
        <f>Raw_Data!A8</f>
        <v/>
      </c>
      <c r="B8" s="15">
        <f>WC_NWC!L8</f>
        <v/>
      </c>
      <c r="C8" s="15">
        <f>WC_NWC!M8</f>
        <v/>
      </c>
      <c r="D8" s="15">
        <f>Efficiency_Metrics!N8</f>
        <v/>
      </c>
      <c r="E8" s="15">
        <f>Efficiency_Metrics!O8</f>
        <v/>
      </c>
      <c r="F8" s="15">
        <f>SUM(B8:E8)</f>
        <v/>
      </c>
      <c r="G8" s="15">
        <f>RANK(F8,$F$3:$F$12,1)</f>
        <v/>
      </c>
      <c r="H8" s="8">
        <f>IF(G8&lt;=2,"Q1",IF(G8&lt;=5,"Q2",IF(G8&lt;=7,"Q3","Q4")))</f>
        <v/>
      </c>
    </row>
    <row r="9">
      <c r="A9" s="10">
        <f>Raw_Data!A9</f>
        <v/>
      </c>
      <c r="B9" s="12">
        <f>WC_NWC!L9</f>
        <v/>
      </c>
      <c r="C9" s="12">
        <f>WC_NWC!M9</f>
        <v/>
      </c>
      <c r="D9" s="12">
        <f>Efficiency_Metrics!N9</f>
        <v/>
      </c>
      <c r="E9" s="12">
        <f>Efficiency_Metrics!O9</f>
        <v/>
      </c>
      <c r="F9" s="12">
        <f>SUM(B9:E9)</f>
        <v/>
      </c>
      <c r="G9" s="12">
        <f>RANK(F9,$F$3:$F$12,1)</f>
        <v/>
      </c>
      <c r="H9" s="5">
        <f>IF(G9&lt;=2,"Q1",IF(G9&lt;=5,"Q2",IF(G9&lt;=7,"Q3","Q4")))</f>
        <v/>
      </c>
    </row>
    <row r="10">
      <c r="A10" s="13">
        <f>Raw_Data!A10</f>
        <v/>
      </c>
      <c r="B10" s="15">
        <f>WC_NWC!L10</f>
        <v/>
      </c>
      <c r="C10" s="15">
        <f>WC_NWC!M10</f>
        <v/>
      </c>
      <c r="D10" s="15">
        <f>Efficiency_Metrics!N10</f>
        <v/>
      </c>
      <c r="E10" s="15">
        <f>Efficiency_Metrics!O10</f>
        <v/>
      </c>
      <c r="F10" s="15">
        <f>SUM(B10:E10)</f>
        <v/>
      </c>
      <c r="G10" s="15">
        <f>RANK(F10,$F$3:$F$12,1)</f>
        <v/>
      </c>
      <c r="H10" s="8">
        <f>IF(G10&lt;=2,"Q1",IF(G10&lt;=5,"Q2",IF(G10&lt;=7,"Q3","Q4")))</f>
        <v/>
      </c>
    </row>
    <row r="11">
      <c r="A11" s="10">
        <f>Raw_Data!A11</f>
        <v/>
      </c>
      <c r="B11" s="12">
        <f>WC_NWC!L11</f>
        <v/>
      </c>
      <c r="C11" s="12">
        <f>WC_NWC!M11</f>
        <v/>
      </c>
      <c r="D11" s="12">
        <f>Efficiency_Metrics!N11</f>
        <v/>
      </c>
      <c r="E11" s="12">
        <f>Efficiency_Metrics!O11</f>
        <v/>
      </c>
      <c r="F11" s="12">
        <f>SUM(B11:E11)</f>
        <v/>
      </c>
      <c r="G11" s="12">
        <f>RANK(F11,$F$3:$F$12,1)</f>
        <v/>
      </c>
      <c r="H11" s="5">
        <f>IF(G11&lt;=2,"Q1",IF(G11&lt;=5,"Q2",IF(G11&lt;=7,"Q3","Q4")))</f>
        <v/>
      </c>
    </row>
    <row r="12">
      <c r="A12" s="13">
        <f>Raw_Data!A12</f>
        <v/>
      </c>
      <c r="B12" s="15">
        <f>WC_NWC!L12</f>
        <v/>
      </c>
      <c r="C12" s="15">
        <f>WC_NWC!M12</f>
        <v/>
      </c>
      <c r="D12" s="15">
        <f>Efficiency_Metrics!N12</f>
        <v/>
      </c>
      <c r="E12" s="15">
        <f>Efficiency_Metrics!O12</f>
        <v/>
      </c>
      <c r="F12" s="15">
        <f>SUM(B12:E12)</f>
        <v/>
      </c>
      <c r="G12" s="15">
        <f>RANK(F12,$F$3:$F$12,1)</f>
        <v/>
      </c>
      <c r="H12" s="8">
        <f>IF(G12&lt;=2,"Q1",IF(G12&lt;=5,"Q2",IF(G12&lt;=7,"Q3","Q4")))</f>
        <v/>
      </c>
    </row>
    <row r="14">
      <c r="A14" s="9" t="inlineStr">
        <is>
          <t>AR Turns excluded from scoring (mathematically inverse of DSO → would double-count). 4 metrics: WC/Rev, NWC/Rev, DSO, CRR — equal weight. Quartile: Q1=Rank 1-2 (top 20%) | Q2=Rank 3-5 | Q3=Rank 6-7 | Q4=Rank 8-10.</t>
        </is>
      </c>
    </row>
  </sheetData>
  <mergeCells count="2">
    <mergeCell ref="A14:H14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2" customWidth="1" min="4" max="4"/>
    <col width="16" customWidth="1" min="5" max="5"/>
    <col width="14" customWidth="1" min="6" max="6"/>
    <col width="12" customWidth="1" min="7" max="7"/>
    <col width="16" customWidth="1" min="8" max="8"/>
    <col width="14" customWidth="1" min="9" max="9"/>
    <col width="12" customWidth="1" min="10" max="10"/>
    <col width="14" customWidth="1" min="11" max="11"/>
    <col width="14" customWidth="1" min="12" max="12"/>
  </cols>
  <sheetData>
    <row r="1" ht="22" customHeight="1">
      <c r="A1" s="1" t="inlineStr">
        <is>
          <t>Gap-to-Best-Practice Benchmark Analysis — All gaps computed dynamically via formulas</t>
        </is>
      </c>
    </row>
    <row r="2" ht="55" customHeight="1">
      <c r="A2" s="2" t="inlineStr">
        <is>
          <t>Company</t>
        </is>
      </c>
      <c r="B2" s="2" t="inlineStr">
        <is>
          <t>Overall
Rank</t>
        </is>
      </c>
      <c r="C2" s="2" t="inlineStr">
        <is>
          <t>Quartile</t>
        </is>
      </c>
      <c r="D2" s="2" t="inlineStr">
        <is>
          <t>DSO
(days)</t>
        </is>
      </c>
      <c r="E2" s="2" t="inlineStr">
        <is>
          <t>Best-Practice
DSO (days)
[=MIN(...)]</t>
        </is>
      </c>
      <c r="F2" s="2" t="inlineStr">
        <is>
          <t>DSO Gap
(days)
[=Actual–Best]
+ve = worse</t>
        </is>
      </c>
      <c r="G2" s="2" t="inlineStr">
        <is>
          <t>NWC/Rev
(%)</t>
        </is>
      </c>
      <c r="H2" s="2" t="inlineStr">
        <is>
          <t>Best-Practice
NWC/Rev
[=MIN(...)]</t>
        </is>
      </c>
      <c r="I2" s="2" t="inlineStr">
        <is>
          <t>NWC Gap (pp)
[=Actual–Best]
+ve = worse</t>
        </is>
      </c>
      <c r="J2" s="2" t="inlineStr">
        <is>
          <t>CRR (%)</t>
        </is>
      </c>
      <c r="K2" s="2" t="inlineStr">
        <is>
          <t>Best-Practice
CRR
[=MAX(...)]</t>
        </is>
      </c>
      <c r="L2" s="2" t="inlineStr">
        <is>
          <t>CRR Gap (pp)
[=Best–Actual]
+ve = worse</t>
        </is>
      </c>
    </row>
    <row r="3">
      <c r="A3" s="10">
        <f>Raw_Data!A3</f>
        <v/>
      </c>
      <c r="B3" s="12">
        <f>Scoring_Ranking!G3</f>
        <v/>
      </c>
      <c r="C3" s="5">
        <f>Scoring_Ranking!H3</f>
        <v/>
      </c>
      <c r="D3" s="18">
        <f>Efficiency_Metrics!H3</f>
        <v/>
      </c>
      <c r="E3" s="18">
        <f>MIN(Efficiency_Metrics!$H$3:Efficiency_Metrics!$H$12)</f>
        <v/>
      </c>
      <c r="F3" s="18">
        <f>D3-E3</f>
        <v/>
      </c>
      <c r="G3" s="11">
        <f>WC_NWC!K3</f>
        <v/>
      </c>
      <c r="H3" s="11">
        <f>MIN(WC_NWC!$K$3:WC_NWC!$K$12)</f>
        <v/>
      </c>
      <c r="I3" s="11">
        <f>G3-H3</f>
        <v/>
      </c>
      <c r="J3" s="11">
        <f>Efficiency_Metrics!M3</f>
        <v/>
      </c>
      <c r="K3" s="11">
        <f>MAX(Efficiency_Metrics!$M$3:Efficiency_Metrics!$M$12)</f>
        <v/>
      </c>
      <c r="L3" s="11">
        <f>K3-J3</f>
        <v/>
      </c>
    </row>
    <row r="4">
      <c r="A4" s="13">
        <f>Raw_Data!A4</f>
        <v/>
      </c>
      <c r="B4" s="15">
        <f>Scoring_Ranking!G4</f>
        <v/>
      </c>
      <c r="C4" s="8">
        <f>Scoring_Ranking!H4</f>
        <v/>
      </c>
      <c r="D4" s="19">
        <f>Efficiency_Metrics!H4</f>
        <v/>
      </c>
      <c r="E4" s="19">
        <f>MIN(Efficiency_Metrics!$H$3:Efficiency_Metrics!$H$12)</f>
        <v/>
      </c>
      <c r="F4" s="19">
        <f>D4-E4</f>
        <v/>
      </c>
      <c r="G4" s="14">
        <f>WC_NWC!K4</f>
        <v/>
      </c>
      <c r="H4" s="14">
        <f>MIN(WC_NWC!$K$3:WC_NWC!$K$12)</f>
        <v/>
      </c>
      <c r="I4" s="14">
        <f>G4-H4</f>
        <v/>
      </c>
      <c r="J4" s="14">
        <f>Efficiency_Metrics!M4</f>
        <v/>
      </c>
      <c r="K4" s="14">
        <f>MAX(Efficiency_Metrics!$M$3:Efficiency_Metrics!$M$12)</f>
        <v/>
      </c>
      <c r="L4" s="14">
        <f>K4-J4</f>
        <v/>
      </c>
    </row>
    <row r="5">
      <c r="A5" s="10">
        <f>Raw_Data!A5</f>
        <v/>
      </c>
      <c r="B5" s="12">
        <f>Scoring_Ranking!G5</f>
        <v/>
      </c>
      <c r="C5" s="5">
        <f>Scoring_Ranking!H5</f>
        <v/>
      </c>
      <c r="D5" s="18">
        <f>Efficiency_Metrics!H5</f>
        <v/>
      </c>
      <c r="E5" s="18">
        <f>MIN(Efficiency_Metrics!$H$3:Efficiency_Metrics!$H$12)</f>
        <v/>
      </c>
      <c r="F5" s="18">
        <f>D5-E5</f>
        <v/>
      </c>
      <c r="G5" s="11">
        <f>WC_NWC!K5</f>
        <v/>
      </c>
      <c r="H5" s="11">
        <f>MIN(WC_NWC!$K$3:WC_NWC!$K$12)</f>
        <v/>
      </c>
      <c r="I5" s="11">
        <f>G5-H5</f>
        <v/>
      </c>
      <c r="J5" s="11">
        <f>Efficiency_Metrics!M5</f>
        <v/>
      </c>
      <c r="K5" s="11">
        <f>MAX(Efficiency_Metrics!$M$3:Efficiency_Metrics!$M$12)</f>
        <v/>
      </c>
      <c r="L5" s="11">
        <f>K5-J5</f>
        <v/>
      </c>
    </row>
    <row r="6">
      <c r="A6" s="13">
        <f>Raw_Data!A6</f>
        <v/>
      </c>
      <c r="B6" s="15">
        <f>Scoring_Ranking!G6</f>
        <v/>
      </c>
      <c r="C6" s="8">
        <f>Scoring_Ranking!H6</f>
        <v/>
      </c>
      <c r="D6" s="19">
        <f>Efficiency_Metrics!H6</f>
        <v/>
      </c>
      <c r="E6" s="19">
        <f>MIN(Efficiency_Metrics!$H$3:Efficiency_Metrics!$H$12)</f>
        <v/>
      </c>
      <c r="F6" s="19">
        <f>D6-E6</f>
        <v/>
      </c>
      <c r="G6" s="14">
        <f>WC_NWC!K6</f>
        <v/>
      </c>
      <c r="H6" s="14">
        <f>MIN(WC_NWC!$K$3:WC_NWC!$K$12)</f>
        <v/>
      </c>
      <c r="I6" s="14">
        <f>G6-H6</f>
        <v/>
      </c>
      <c r="J6" s="14">
        <f>Efficiency_Metrics!M6</f>
        <v/>
      </c>
      <c r="K6" s="14">
        <f>MAX(Efficiency_Metrics!$M$3:Efficiency_Metrics!$M$12)</f>
        <v/>
      </c>
      <c r="L6" s="14">
        <f>K6-J6</f>
        <v/>
      </c>
    </row>
    <row r="7">
      <c r="A7" s="10">
        <f>Raw_Data!A7</f>
        <v/>
      </c>
      <c r="B7" s="12">
        <f>Scoring_Ranking!G7</f>
        <v/>
      </c>
      <c r="C7" s="5">
        <f>Scoring_Ranking!H7</f>
        <v/>
      </c>
      <c r="D7" s="18">
        <f>Efficiency_Metrics!H7</f>
        <v/>
      </c>
      <c r="E7" s="18">
        <f>MIN(Efficiency_Metrics!$H$3:Efficiency_Metrics!$H$12)</f>
        <v/>
      </c>
      <c r="F7" s="18">
        <f>D7-E7</f>
        <v/>
      </c>
      <c r="G7" s="11">
        <f>WC_NWC!K7</f>
        <v/>
      </c>
      <c r="H7" s="11">
        <f>MIN(WC_NWC!$K$3:WC_NWC!$K$12)</f>
        <v/>
      </c>
      <c r="I7" s="11">
        <f>G7-H7</f>
        <v/>
      </c>
      <c r="J7" s="11">
        <f>Efficiency_Metrics!M7</f>
        <v/>
      </c>
      <c r="K7" s="11">
        <f>MAX(Efficiency_Metrics!$M$3:Efficiency_Metrics!$M$12)</f>
        <v/>
      </c>
      <c r="L7" s="11">
        <f>K7-J7</f>
        <v/>
      </c>
    </row>
    <row r="8">
      <c r="A8" s="13">
        <f>Raw_Data!A8</f>
        <v/>
      </c>
      <c r="B8" s="15">
        <f>Scoring_Ranking!G8</f>
        <v/>
      </c>
      <c r="C8" s="8">
        <f>Scoring_Ranking!H8</f>
        <v/>
      </c>
      <c r="D8" s="19">
        <f>Efficiency_Metrics!H8</f>
        <v/>
      </c>
      <c r="E8" s="19">
        <f>MIN(Efficiency_Metrics!$H$3:Efficiency_Metrics!$H$12)</f>
        <v/>
      </c>
      <c r="F8" s="19">
        <f>D8-E8</f>
        <v/>
      </c>
      <c r="G8" s="14">
        <f>WC_NWC!K8</f>
        <v/>
      </c>
      <c r="H8" s="14">
        <f>MIN(WC_NWC!$K$3:WC_NWC!$K$12)</f>
        <v/>
      </c>
      <c r="I8" s="14">
        <f>G8-H8</f>
        <v/>
      </c>
      <c r="J8" s="14">
        <f>Efficiency_Metrics!M8</f>
        <v/>
      </c>
      <c r="K8" s="14">
        <f>MAX(Efficiency_Metrics!$M$3:Efficiency_Metrics!$M$12)</f>
        <v/>
      </c>
      <c r="L8" s="14">
        <f>K8-J8</f>
        <v/>
      </c>
    </row>
    <row r="9">
      <c r="A9" s="10">
        <f>Raw_Data!A9</f>
        <v/>
      </c>
      <c r="B9" s="12">
        <f>Scoring_Ranking!G9</f>
        <v/>
      </c>
      <c r="C9" s="5">
        <f>Scoring_Ranking!H9</f>
        <v/>
      </c>
      <c r="D9" s="18">
        <f>Efficiency_Metrics!H9</f>
        <v/>
      </c>
      <c r="E9" s="18">
        <f>MIN(Efficiency_Metrics!$H$3:Efficiency_Metrics!$H$12)</f>
        <v/>
      </c>
      <c r="F9" s="18">
        <f>D9-E9</f>
        <v/>
      </c>
      <c r="G9" s="11">
        <f>WC_NWC!K9</f>
        <v/>
      </c>
      <c r="H9" s="11">
        <f>MIN(WC_NWC!$K$3:WC_NWC!$K$12)</f>
        <v/>
      </c>
      <c r="I9" s="11">
        <f>G9-H9</f>
        <v/>
      </c>
      <c r="J9" s="11">
        <f>Efficiency_Metrics!M9</f>
        <v/>
      </c>
      <c r="K9" s="11">
        <f>MAX(Efficiency_Metrics!$M$3:Efficiency_Metrics!$M$12)</f>
        <v/>
      </c>
      <c r="L9" s="11">
        <f>K9-J9</f>
        <v/>
      </c>
    </row>
    <row r="10">
      <c r="A10" s="13">
        <f>Raw_Data!A10</f>
        <v/>
      </c>
      <c r="B10" s="15">
        <f>Scoring_Ranking!G10</f>
        <v/>
      </c>
      <c r="C10" s="8">
        <f>Scoring_Ranking!H10</f>
        <v/>
      </c>
      <c r="D10" s="19">
        <f>Efficiency_Metrics!H10</f>
        <v/>
      </c>
      <c r="E10" s="19">
        <f>MIN(Efficiency_Metrics!$H$3:Efficiency_Metrics!$H$12)</f>
        <v/>
      </c>
      <c r="F10" s="19">
        <f>D10-E10</f>
        <v/>
      </c>
      <c r="G10" s="14">
        <f>WC_NWC!K10</f>
        <v/>
      </c>
      <c r="H10" s="14">
        <f>MIN(WC_NWC!$K$3:WC_NWC!$K$12)</f>
        <v/>
      </c>
      <c r="I10" s="14">
        <f>G10-H10</f>
        <v/>
      </c>
      <c r="J10" s="14">
        <f>Efficiency_Metrics!M10</f>
        <v/>
      </c>
      <c r="K10" s="14">
        <f>MAX(Efficiency_Metrics!$M$3:Efficiency_Metrics!$M$12)</f>
        <v/>
      </c>
      <c r="L10" s="14">
        <f>K10-J10</f>
        <v/>
      </c>
    </row>
    <row r="11">
      <c r="A11" s="10">
        <f>Raw_Data!A11</f>
        <v/>
      </c>
      <c r="B11" s="12">
        <f>Scoring_Ranking!G11</f>
        <v/>
      </c>
      <c r="C11" s="5">
        <f>Scoring_Ranking!H11</f>
        <v/>
      </c>
      <c r="D11" s="18">
        <f>Efficiency_Metrics!H11</f>
        <v/>
      </c>
      <c r="E11" s="18">
        <f>MIN(Efficiency_Metrics!$H$3:Efficiency_Metrics!$H$12)</f>
        <v/>
      </c>
      <c r="F11" s="18">
        <f>D11-E11</f>
        <v/>
      </c>
      <c r="G11" s="11">
        <f>WC_NWC!K11</f>
        <v/>
      </c>
      <c r="H11" s="11">
        <f>MIN(WC_NWC!$K$3:WC_NWC!$K$12)</f>
        <v/>
      </c>
      <c r="I11" s="11">
        <f>G11-H11</f>
        <v/>
      </c>
      <c r="J11" s="11">
        <f>Efficiency_Metrics!M11</f>
        <v/>
      </c>
      <c r="K11" s="11">
        <f>MAX(Efficiency_Metrics!$M$3:Efficiency_Metrics!$M$12)</f>
        <v/>
      </c>
      <c r="L11" s="11">
        <f>K11-J11</f>
        <v/>
      </c>
    </row>
    <row r="12">
      <c r="A12" s="13">
        <f>Raw_Data!A12</f>
        <v/>
      </c>
      <c r="B12" s="15">
        <f>Scoring_Ranking!G12</f>
        <v/>
      </c>
      <c r="C12" s="8">
        <f>Scoring_Ranking!H12</f>
        <v/>
      </c>
      <c r="D12" s="19">
        <f>Efficiency_Metrics!H12</f>
        <v/>
      </c>
      <c r="E12" s="19">
        <f>MIN(Efficiency_Metrics!$H$3:Efficiency_Metrics!$H$12)</f>
        <v/>
      </c>
      <c r="F12" s="19">
        <f>D12-E12</f>
        <v/>
      </c>
      <c r="G12" s="14">
        <f>WC_NWC!K12</f>
        <v/>
      </c>
      <c r="H12" s="14">
        <f>MIN(WC_NWC!$K$3:WC_NWC!$K$12)</f>
        <v/>
      </c>
      <c r="I12" s="14">
        <f>G12-H12</f>
        <v/>
      </c>
      <c r="J12" s="14">
        <f>Efficiency_Metrics!M12</f>
        <v/>
      </c>
      <c r="K12" s="14">
        <f>MAX(Efficiency_Metrics!$M$3:Efficiency_Metrics!$M$12)</f>
        <v/>
      </c>
      <c r="L12" s="14">
        <f>K12-J12</f>
        <v/>
      </c>
    </row>
    <row r="14">
      <c r="A14" s="9" t="inlineStr">
        <is>
          <t>Positive gap = company is WORSE than best practice. Best-practice DSO / NWC = MIN of peer group. Best-practice CRR = MAX of peer group. All best-practice values are dynamic — they update automatically if raw data changes.</t>
        </is>
      </c>
    </row>
  </sheetData>
  <mergeCells count="2">
    <mergeCell ref="A14:L14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13" customWidth="1" min="4" max="4"/>
    <col width="13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6" customWidth="1" min="11" max="11"/>
    <col width="16" customWidth="1" min="12" max="12"/>
  </cols>
  <sheetData>
    <row r="1" ht="22" customHeight="1">
      <c r="A1" s="1" t="inlineStr">
        <is>
          <t>Cash Release Potential — Benchmark-Based Optimisation (Target = 2nd-Best Peer; all formulas dynamic)</t>
        </is>
      </c>
    </row>
    <row r="2" ht="55" customHeight="1">
      <c r="A2" s="2" t="inlineStr">
        <is>
          <t>Company</t>
        </is>
      </c>
      <c r="B2" s="2" t="inlineStr">
        <is>
          <t>Quartile</t>
        </is>
      </c>
      <c r="C2" s="2" t="inlineStr">
        <is>
          <t>Revenue
($M)</t>
        </is>
      </c>
      <c r="D2" s="2" t="inlineStr">
        <is>
          <t>Current
AR ($M)</t>
        </is>
      </c>
      <c r="E2" s="2" t="inlineStr">
        <is>
          <t>Current
DSO (days)</t>
        </is>
      </c>
      <c r="F2" s="2" t="inlineStr">
        <is>
          <t>Target
DSO (days)
[=SMALL(…,2)]</t>
        </is>
      </c>
      <c r="G2" s="2" t="inlineStr">
        <is>
          <t>Target
AR ($M)
[=Rev÷365×TgtDSO]</t>
        </is>
      </c>
      <c r="H2" s="2" t="inlineStr">
        <is>
          <t>AR Cash
Release ($M)
[=MAX(CurAR–TgtAR,0)]</t>
        </is>
      </c>
      <c r="I2" s="2" t="inlineStr">
        <is>
          <t>Current
Inventory ($M)</t>
        </is>
      </c>
      <c r="J2" s="2" t="inlineStr">
        <is>
          <t>Target
DIO (days)
[=SMALL(…,2)]</t>
        </is>
      </c>
      <c r="K2" s="2" t="inlineStr">
        <is>
          <t>Target
Inventory ($M)
[=COGS÷365×TgtDIO]</t>
        </is>
      </c>
      <c r="L2" s="2" t="inlineStr">
        <is>
          <t>Inv Cash
Release ($M)
[=MAX(CurInv–TgtInv,0)]</t>
        </is>
      </c>
    </row>
    <row r="3">
      <c r="A3" s="10">
        <f>Raw_Data!A3</f>
        <v/>
      </c>
      <c r="B3" s="5">
        <f>Scoring_Ranking!H3</f>
        <v/>
      </c>
      <c r="C3" s="4">
        <f>Raw_Data!B3</f>
        <v/>
      </c>
      <c r="D3" s="4">
        <f>Raw_Data!D3</f>
        <v/>
      </c>
      <c r="E3" s="18">
        <f>Efficiency_Metrics!H3</f>
        <v/>
      </c>
      <c r="F3" s="18">
        <f>SMALL(Efficiency_Metrics!$H$3:Efficiency_Metrics!$H$12,2)</f>
        <v/>
      </c>
      <c r="G3" s="4">
        <f>C3/365*F3</f>
        <v/>
      </c>
      <c r="H3" s="4">
        <f>MAX(D3-G3,0)</f>
        <v/>
      </c>
      <c r="I3" s="4">
        <f>Raw_Data!E3</f>
        <v/>
      </c>
      <c r="J3" s="18">
        <f>SMALL(Efficiency_Metrics!$J$3:Efficiency_Metrics!$J$12,2)</f>
        <v/>
      </c>
      <c r="K3" s="4">
        <f>Raw_Data!C3/365*J3</f>
        <v/>
      </c>
      <c r="L3" s="4">
        <f>MAX(I3-K3,0)</f>
        <v/>
      </c>
    </row>
    <row r="4">
      <c r="A4" s="13">
        <f>Raw_Data!A4</f>
        <v/>
      </c>
      <c r="B4" s="8">
        <f>Scoring_Ranking!H4</f>
        <v/>
      </c>
      <c r="C4" s="7">
        <f>Raw_Data!B4</f>
        <v/>
      </c>
      <c r="D4" s="7">
        <f>Raw_Data!D4</f>
        <v/>
      </c>
      <c r="E4" s="19">
        <f>Efficiency_Metrics!H4</f>
        <v/>
      </c>
      <c r="F4" s="19">
        <f>SMALL(Efficiency_Metrics!$H$3:Efficiency_Metrics!$H$12,2)</f>
        <v/>
      </c>
      <c r="G4" s="7">
        <f>C4/365*F4</f>
        <v/>
      </c>
      <c r="H4" s="7">
        <f>MAX(D4-G4,0)</f>
        <v/>
      </c>
      <c r="I4" s="7">
        <f>Raw_Data!E4</f>
        <v/>
      </c>
      <c r="J4" s="19">
        <f>SMALL(Efficiency_Metrics!$J$3:Efficiency_Metrics!$J$12,2)</f>
        <v/>
      </c>
      <c r="K4" s="7">
        <f>Raw_Data!C4/365*J4</f>
        <v/>
      </c>
      <c r="L4" s="7">
        <f>MAX(I4-K4,0)</f>
        <v/>
      </c>
    </row>
    <row r="5">
      <c r="A5" s="10">
        <f>Raw_Data!A5</f>
        <v/>
      </c>
      <c r="B5" s="5">
        <f>Scoring_Ranking!H5</f>
        <v/>
      </c>
      <c r="C5" s="4">
        <f>Raw_Data!B5</f>
        <v/>
      </c>
      <c r="D5" s="4">
        <f>Raw_Data!D5</f>
        <v/>
      </c>
      <c r="E5" s="18">
        <f>Efficiency_Metrics!H5</f>
        <v/>
      </c>
      <c r="F5" s="18">
        <f>SMALL(Efficiency_Metrics!$H$3:Efficiency_Metrics!$H$12,2)</f>
        <v/>
      </c>
      <c r="G5" s="4">
        <f>C5/365*F5</f>
        <v/>
      </c>
      <c r="H5" s="4">
        <f>MAX(D5-G5,0)</f>
        <v/>
      </c>
      <c r="I5" s="4">
        <f>Raw_Data!E5</f>
        <v/>
      </c>
      <c r="J5" s="18">
        <f>SMALL(Efficiency_Metrics!$J$3:Efficiency_Metrics!$J$12,2)</f>
        <v/>
      </c>
      <c r="K5" s="4">
        <f>Raw_Data!C5/365*J5</f>
        <v/>
      </c>
      <c r="L5" s="4">
        <f>MAX(I5-K5,0)</f>
        <v/>
      </c>
    </row>
    <row r="6">
      <c r="A6" s="13">
        <f>Raw_Data!A6</f>
        <v/>
      </c>
      <c r="B6" s="8">
        <f>Scoring_Ranking!H6</f>
        <v/>
      </c>
      <c r="C6" s="7">
        <f>Raw_Data!B6</f>
        <v/>
      </c>
      <c r="D6" s="7">
        <f>Raw_Data!D6</f>
        <v/>
      </c>
      <c r="E6" s="19">
        <f>Efficiency_Metrics!H6</f>
        <v/>
      </c>
      <c r="F6" s="19">
        <f>SMALL(Efficiency_Metrics!$H$3:Efficiency_Metrics!$H$12,2)</f>
        <v/>
      </c>
      <c r="G6" s="7">
        <f>C6/365*F6</f>
        <v/>
      </c>
      <c r="H6" s="7">
        <f>MAX(D6-G6,0)</f>
        <v/>
      </c>
      <c r="I6" s="7">
        <f>Raw_Data!E6</f>
        <v/>
      </c>
      <c r="J6" s="19">
        <f>SMALL(Efficiency_Metrics!$J$3:Efficiency_Metrics!$J$12,2)</f>
        <v/>
      </c>
      <c r="K6" s="7">
        <f>Raw_Data!C6/365*J6</f>
        <v/>
      </c>
      <c r="L6" s="7">
        <f>MAX(I6-K6,0)</f>
        <v/>
      </c>
    </row>
    <row r="7">
      <c r="A7" s="10">
        <f>Raw_Data!A7</f>
        <v/>
      </c>
      <c r="B7" s="5">
        <f>Scoring_Ranking!H7</f>
        <v/>
      </c>
      <c r="C7" s="4">
        <f>Raw_Data!B7</f>
        <v/>
      </c>
      <c r="D7" s="4">
        <f>Raw_Data!D7</f>
        <v/>
      </c>
      <c r="E7" s="18">
        <f>Efficiency_Metrics!H7</f>
        <v/>
      </c>
      <c r="F7" s="18">
        <f>SMALL(Efficiency_Metrics!$H$3:Efficiency_Metrics!$H$12,2)</f>
        <v/>
      </c>
      <c r="G7" s="4">
        <f>C7/365*F7</f>
        <v/>
      </c>
      <c r="H7" s="4">
        <f>MAX(D7-G7,0)</f>
        <v/>
      </c>
      <c r="I7" s="4">
        <f>Raw_Data!E7</f>
        <v/>
      </c>
      <c r="J7" s="18">
        <f>SMALL(Efficiency_Metrics!$J$3:Efficiency_Metrics!$J$12,2)</f>
        <v/>
      </c>
      <c r="K7" s="4">
        <f>Raw_Data!C7/365*J7</f>
        <v/>
      </c>
      <c r="L7" s="4">
        <f>MAX(I7-K7,0)</f>
        <v/>
      </c>
    </row>
    <row r="8">
      <c r="A8" s="13">
        <f>Raw_Data!A8</f>
        <v/>
      </c>
      <c r="B8" s="8">
        <f>Scoring_Ranking!H8</f>
        <v/>
      </c>
      <c r="C8" s="7">
        <f>Raw_Data!B8</f>
        <v/>
      </c>
      <c r="D8" s="7">
        <f>Raw_Data!D8</f>
        <v/>
      </c>
      <c r="E8" s="19">
        <f>Efficiency_Metrics!H8</f>
        <v/>
      </c>
      <c r="F8" s="19">
        <f>SMALL(Efficiency_Metrics!$H$3:Efficiency_Metrics!$H$12,2)</f>
        <v/>
      </c>
      <c r="G8" s="7">
        <f>C8/365*F8</f>
        <v/>
      </c>
      <c r="H8" s="7">
        <f>MAX(D8-G8,0)</f>
        <v/>
      </c>
      <c r="I8" s="7">
        <f>Raw_Data!E8</f>
        <v/>
      </c>
      <c r="J8" s="19">
        <f>SMALL(Efficiency_Metrics!$J$3:Efficiency_Metrics!$J$12,2)</f>
        <v/>
      </c>
      <c r="K8" s="7">
        <f>Raw_Data!C8/365*J8</f>
        <v/>
      </c>
      <c r="L8" s="7">
        <f>MAX(I8-K8,0)</f>
        <v/>
      </c>
    </row>
    <row r="9">
      <c r="A9" s="10">
        <f>Raw_Data!A9</f>
        <v/>
      </c>
      <c r="B9" s="5">
        <f>Scoring_Ranking!H9</f>
        <v/>
      </c>
      <c r="C9" s="4">
        <f>Raw_Data!B9</f>
        <v/>
      </c>
      <c r="D9" s="4">
        <f>Raw_Data!D9</f>
        <v/>
      </c>
      <c r="E9" s="18">
        <f>Efficiency_Metrics!H9</f>
        <v/>
      </c>
      <c r="F9" s="18">
        <f>SMALL(Efficiency_Metrics!$H$3:Efficiency_Metrics!$H$12,2)</f>
        <v/>
      </c>
      <c r="G9" s="4">
        <f>C9/365*F9</f>
        <v/>
      </c>
      <c r="H9" s="4">
        <f>MAX(D9-G9,0)</f>
        <v/>
      </c>
      <c r="I9" s="4">
        <f>Raw_Data!E9</f>
        <v/>
      </c>
      <c r="J9" s="18">
        <f>SMALL(Efficiency_Metrics!$J$3:Efficiency_Metrics!$J$12,2)</f>
        <v/>
      </c>
      <c r="K9" s="4">
        <f>Raw_Data!C9/365*J9</f>
        <v/>
      </c>
      <c r="L9" s="4">
        <f>MAX(I9-K9,0)</f>
        <v/>
      </c>
    </row>
    <row r="10">
      <c r="A10" s="13">
        <f>Raw_Data!A10</f>
        <v/>
      </c>
      <c r="B10" s="8">
        <f>Scoring_Ranking!H10</f>
        <v/>
      </c>
      <c r="C10" s="7">
        <f>Raw_Data!B10</f>
        <v/>
      </c>
      <c r="D10" s="7">
        <f>Raw_Data!D10</f>
        <v/>
      </c>
      <c r="E10" s="19">
        <f>Efficiency_Metrics!H10</f>
        <v/>
      </c>
      <c r="F10" s="19">
        <f>SMALL(Efficiency_Metrics!$H$3:Efficiency_Metrics!$H$12,2)</f>
        <v/>
      </c>
      <c r="G10" s="7">
        <f>C10/365*F10</f>
        <v/>
      </c>
      <c r="H10" s="7">
        <f>MAX(D10-G10,0)</f>
        <v/>
      </c>
      <c r="I10" s="7">
        <f>Raw_Data!E10</f>
        <v/>
      </c>
      <c r="J10" s="19">
        <f>SMALL(Efficiency_Metrics!$J$3:Efficiency_Metrics!$J$12,2)</f>
        <v/>
      </c>
      <c r="K10" s="7">
        <f>Raw_Data!C10/365*J10</f>
        <v/>
      </c>
      <c r="L10" s="7">
        <f>MAX(I10-K10,0)</f>
        <v/>
      </c>
    </row>
    <row r="11">
      <c r="A11" s="10">
        <f>Raw_Data!A11</f>
        <v/>
      </c>
      <c r="B11" s="5">
        <f>Scoring_Ranking!H11</f>
        <v/>
      </c>
      <c r="C11" s="4">
        <f>Raw_Data!B11</f>
        <v/>
      </c>
      <c r="D11" s="4">
        <f>Raw_Data!D11</f>
        <v/>
      </c>
      <c r="E11" s="18">
        <f>Efficiency_Metrics!H11</f>
        <v/>
      </c>
      <c r="F11" s="18">
        <f>SMALL(Efficiency_Metrics!$H$3:Efficiency_Metrics!$H$12,2)</f>
        <v/>
      </c>
      <c r="G11" s="4">
        <f>C11/365*F11</f>
        <v/>
      </c>
      <c r="H11" s="4">
        <f>MAX(D11-G11,0)</f>
        <v/>
      </c>
      <c r="I11" s="4">
        <f>Raw_Data!E11</f>
        <v/>
      </c>
      <c r="J11" s="18">
        <f>SMALL(Efficiency_Metrics!$J$3:Efficiency_Metrics!$J$12,2)</f>
        <v/>
      </c>
      <c r="K11" s="4">
        <f>Raw_Data!C11/365*J11</f>
        <v/>
      </c>
      <c r="L11" s="4">
        <f>MAX(I11-K11,0)</f>
        <v/>
      </c>
    </row>
    <row r="12">
      <c r="A12" s="13">
        <f>Raw_Data!A12</f>
        <v/>
      </c>
      <c r="B12" s="8">
        <f>Scoring_Ranking!H12</f>
        <v/>
      </c>
      <c r="C12" s="7">
        <f>Raw_Data!B12</f>
        <v/>
      </c>
      <c r="D12" s="7">
        <f>Raw_Data!D12</f>
        <v/>
      </c>
      <c r="E12" s="19">
        <f>Efficiency_Metrics!H12</f>
        <v/>
      </c>
      <c r="F12" s="19">
        <f>SMALL(Efficiency_Metrics!$H$3:Efficiency_Metrics!$H$12,2)</f>
        <v/>
      </c>
      <c r="G12" s="7">
        <f>C12/365*F12</f>
        <v/>
      </c>
      <c r="H12" s="7">
        <f>MAX(D12-G12,0)</f>
        <v/>
      </c>
      <c r="I12" s="7">
        <f>Raw_Data!E12</f>
        <v/>
      </c>
      <c r="J12" s="19">
        <f>SMALL(Efficiency_Metrics!$J$3:Efficiency_Metrics!$J$12,2)</f>
        <v/>
      </c>
      <c r="K12" s="7">
        <f>Raw_Data!C12/365*J12</f>
        <v/>
      </c>
      <c r="L12" s="7">
        <f>MAX(I12-K12,0)</f>
        <v/>
      </c>
    </row>
    <row r="14">
      <c r="A14" s="16" t="inlineStr">
        <is>
          <t>TOTAL — All 10 Companies (companies already at/below benchmark contribute $0):</t>
        </is>
      </c>
      <c r="H14" s="21">
        <f>SUM(H3:H12)</f>
        <v/>
      </c>
      <c r="L14" s="21">
        <f>SUM(L3:L12)</f>
        <v/>
      </c>
    </row>
    <row r="15">
      <c r="A15" s="22">
        <f>CONCATENATE("TOTAL Q3+Q4 Companies: ",COUNTIF(B3:B12,"Q3")+COUNTIF(B3:B12,"Q4")," companies")</f>
        <v/>
      </c>
      <c r="H15" s="23">
        <f>SUMIF(B3:B12,"Q3",H3:H12)+SUMIF(B3:B12,"Q4",H3:H12)</f>
        <v/>
      </c>
      <c r="L15" s="23">
        <f>SUMIF(B3:B12,"Q3",L3:L12)+SUMIF(B3:B12,"Q4",L3:L12)</f>
        <v/>
      </c>
    </row>
    <row r="17">
      <c r="A17" s="9" t="inlineStr">
        <is>
          <t>Methodology: Target DSO = 2nd-lowest peer DSO [SMALL(...,2)] — avoids outlier distortion. Target DIO = 2nd-lowest peer DIO. Target Inventory = COGS÷365×Target DIO (COGS-based to be consistent). MAX(…,0) ensures companies already at benchmark show $0 (no negative release). All targets update automatically when Raw_Data changes.</t>
        </is>
      </c>
    </row>
  </sheetData>
  <mergeCells count="4">
    <mergeCell ref="A14:G14"/>
    <mergeCell ref="A1:L1"/>
    <mergeCell ref="A17:L17"/>
    <mergeCell ref="A15:G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2026-05-05T21:05:48Z</dcterms:created>
  <dcterms:modified xsi:type="dcterms:W3CDTF">2026-05-05T21:05:48Z</dcterms:modified>
</cp:coreProperties>
</file>