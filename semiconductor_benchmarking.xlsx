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Raw Data" sheetId="1" state="visible" r:id="rId1"/>
    <sheet name="2 Average Balances" sheetId="2" state="visible" r:id="rId2"/>
    <sheet name="3 Metrics" sheetId="3" state="visible" r:id="rId3"/>
    <sheet name="4 Rankings" sheetId="4" state="visible" r:id="rId4"/>
    <sheet name="5 Scoring Model" sheetId="5" state="visible" r:id="rId5"/>
    <sheet name="6 Cash Potential" sheetId="6" state="visible" r:id="rId6"/>
    <sheet name="7 NWC Strategy" sheetId="7" state="visible" r:id="rId7"/>
    <sheet name="8 Business Model" sheetId="8" state="visible" r:id="rId8"/>
    <sheet name="9 Key Insights" sheetId="9" state="visible" r:id="rId9"/>
    <sheet name="10 Sources &amp; Assumptions" sheetId="10" state="visible" r:id="rId10"/>
    <sheet name="11 Formula Reference" sheetId="11" state="visible" r:id="rId11"/>
    <sheet name="12 URL References" sheetId="12" state="visible" r:id="rId1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color rgb="00000000"/>
      <sz val="9"/>
    </font>
    <font>
      <b val="1"/>
      <color rgb="00FF0000"/>
      <sz val="9"/>
    </font>
    <font>
      <i val="1"/>
      <color rgb="00FF0000"/>
      <sz val="9"/>
    </font>
    <font>
      <b val="1"/>
      <color rgb="00000000"/>
      <sz val="9"/>
    </font>
    <font>
      <i val="1"/>
      <color rgb="00595959"/>
      <sz val="8"/>
    </font>
    <font>
      <color rgb="00000000"/>
      <sz val="8"/>
    </font>
    <font>
      <b val="1"/>
      <color rgb="00FFFFFF"/>
      <sz val="10"/>
    </font>
    <font>
      <name val="Calibri"/>
      <b val="1"/>
      <color rgb="00FFFFFF"/>
      <sz val="13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ourier New"/>
      <color rgb="001F3864"/>
      <sz val="10"/>
    </font>
    <font>
      <name val="Calibri"/>
      <i val="1"/>
      <color rgb="00595959"/>
      <sz val="9"/>
    </font>
    <font>
      <name val="Calibri"/>
      <i val="1"/>
      <color rgb="00404040"/>
      <sz val="9"/>
    </font>
    <font>
      <name val="Calibri"/>
      <color rgb="000563C1"/>
      <sz val="10"/>
      <u val="single"/>
    </font>
    <font>
      <color rgb="000563C1"/>
      <u val="single"/>
    </font>
    <font>
      <b val="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FF7F7F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156082"/>
      </patternFill>
    </fill>
    <fill>
      <patternFill patternType="solid">
        <fgColor rgb="00404040"/>
      </patternFill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/>
    </xf>
    <xf numFmtId="0" fontId="8" fillId="0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11" borderId="0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 indent="1"/>
    </xf>
    <xf numFmtId="0" fontId="13" fillId="0" borderId="6" applyAlignment="1" pivotButton="0" quotePrefix="0" xfId="0">
      <alignment vertical="top" wrapText="1"/>
    </xf>
    <xf numFmtId="0" fontId="14" fillId="12" borderId="6" applyAlignment="1" pivotButton="0" quotePrefix="0" xfId="0">
      <alignment vertical="top" wrapText="1"/>
    </xf>
    <xf numFmtId="0" fontId="15" fillId="0" borderId="6" applyAlignment="1" pivotButton="0" quotePrefix="0" xfId="0">
      <alignment vertical="top" wrapText="1"/>
    </xf>
    <xf numFmtId="0" fontId="12" fillId="13" borderId="0" applyAlignment="1" pivotButton="0" quotePrefix="0" xfId="0">
      <alignment horizontal="left" vertical="center" indent="1"/>
    </xf>
    <xf numFmtId="0" fontId="12" fillId="14" borderId="0" applyAlignment="1" pivotButton="0" quotePrefix="0" xfId="0">
      <alignment horizontal="left" vertical="center" indent="1"/>
    </xf>
    <xf numFmtId="0" fontId="12" fillId="15" borderId="0" applyAlignment="1" pivotButton="0" quotePrefix="0" xfId="0">
      <alignment horizontal="left" vertical="center" indent="1"/>
    </xf>
    <xf numFmtId="0" fontId="12" fillId="16" borderId="0" applyAlignment="1" pivotButton="0" quotePrefix="0" xfId="0">
      <alignment horizontal="left" vertical="center" indent="1"/>
    </xf>
    <xf numFmtId="0" fontId="12" fillId="17" borderId="0" applyAlignment="1" pivotButton="0" quotePrefix="0" xfId="0">
      <alignment horizontal="left" vertical="center" indent="1"/>
    </xf>
    <xf numFmtId="0" fontId="12" fillId="18" borderId="0" applyAlignment="1" pivotButton="0" quotePrefix="0" xfId="0">
      <alignment horizontal="left" vertical="center" indent="1"/>
    </xf>
    <xf numFmtId="0" fontId="16" fillId="12" borderId="0" applyAlignment="1" pivotButton="0" quotePrefix="0" xfId="0">
      <alignment vertical="top" wrapText="1"/>
    </xf>
    <xf numFmtId="0" fontId="17" fillId="0" borderId="6" applyAlignment="1" pivotButton="0" quotePrefix="0" xfId="0">
      <alignment vertical="center" wrapText="1"/>
    </xf>
    <xf numFmtId="0" fontId="10" fillId="11" borderId="0" applyAlignment="1" pivotButton="0" quotePrefix="0" xfId="0">
      <alignment horizontal="center" vertical="center"/>
    </xf>
    <xf numFmtId="0" fontId="17" fillId="0" borderId="6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  <xf numFmtId="0" fontId="18" fillId="0" borderId="6" applyAlignment="1" pivotButton="0" quotePrefix="0" xfId="0">
      <alignment vertical="center" wrapText="1"/>
    </xf>
    <xf numFmtId="0" fontId="19" fillId="11" borderId="0" applyAlignment="1" pivotButton="0" quotePrefix="0" xfId="0">
      <alignment horizontal="center" vertical="center"/>
    </xf>
    <xf numFmtId="0" fontId="11" fillId="10" borderId="6" applyAlignment="1" pivotButton="0" quotePrefix="0" xfId="0">
      <alignment wrapText="1"/>
    </xf>
    <xf numFmtId="0" fontId="13" fillId="0" borderId="6" applyAlignment="1" pivotButton="0" quotePrefix="0" xfId="0">
      <alignment wrapText="1"/>
    </xf>
    <xf numFmtId="0" fontId="18" fillId="0" borderId="6" applyAlignment="1" pivotButton="0" quotePrefix="0" xfId="0">
      <alignment vertical="top" wrapText="1"/>
    </xf>
    <xf numFmtId="0" fontId="19" fillId="19" borderId="0" pivotButton="0" quotePrefix="0" xfId="0"/>
    <xf numFmtId="0" fontId="0" fillId="19" borderId="0" pivotButton="0" quotePrefix="0" xfId="0"/>
    <xf numFmtId="0" fontId="0" fillId="0" borderId="0" applyAlignment="1" pivotButton="0" quotePrefix="0" xfId="0">
      <alignment wrapText="1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www.sec.gov/cgi-bin/browse-edgar?action=getcompany&amp;CIK=0001045810&amp;type=10-K&amp;dateb=&amp;owner=include&amp;count=5" TargetMode="External" Id="rId1" /><Relationship Type="http://schemas.openxmlformats.org/officeDocument/2006/relationships/hyperlink" Target="https://www.sec.gov/cgi-bin/browse-edgar?action=getcompany&amp;CIK=0000002488&amp;type=10-K&amp;dateb=&amp;owner=include&amp;count=5" TargetMode="External" Id="rId2" /><Relationship Type="http://schemas.openxmlformats.org/officeDocument/2006/relationships/hyperlink" Target="https://www.sec.gov/cgi-bin/browse-edgar?action=getcompany&amp;CIK=0000050863&amp;type=10-K&amp;dateb=&amp;owner=include&amp;count=5" TargetMode="External" Id="rId3" /><Relationship Type="http://schemas.openxmlformats.org/officeDocument/2006/relationships/hyperlink" Target="https://www.sec.gov/cgi-bin/browse-edgar?action=getcompany&amp;CIK=0000097476&amp;type=10-K&amp;dateb=&amp;owner=include&amp;count=5" TargetMode="External" Id="rId4" /><Relationship Type="http://schemas.openxmlformats.org/officeDocument/2006/relationships/hyperlink" Target="https://www.sec.gov/cgi-bin/browse-edgar?action=getcompany&amp;CIK=0000804328&amp;type=10-K&amp;dateb=&amp;owner=include&amp;count=5" TargetMode="External" Id="rId5" /><Relationship Type="http://schemas.openxmlformats.org/officeDocument/2006/relationships/hyperlink" Target="https://www.sec.gov/cgi-bin/browse-edgar?action=getcompany&amp;CIK=0001413447&amp;type=20-F&amp;dateb=&amp;owner=include&amp;count=5" TargetMode="External" Id="rId6" /><Relationship Type="http://schemas.openxmlformats.org/officeDocument/2006/relationships/hyperlink" Target="https://www.sec.gov/cgi-bin/browse-edgar?action=getcompany&amp;CIK=0001046179&amp;type=20-F&amp;dateb=&amp;owner=include&amp;count=5" TargetMode="External" Id="rId7" /><Relationship Type="http://schemas.openxmlformats.org/officeDocument/2006/relationships/hyperlink" Target="https://www.sec.gov/cgi-bin/browse-edgar?action=getcompany&amp;CIK=0000723125&amp;type=10-K&amp;dateb=&amp;owner=include&amp;count=5" TargetMode="External" Id="rId8" /><Relationship Type="http://schemas.openxmlformats.org/officeDocument/2006/relationships/hyperlink" Target="https://www.sec.gov/cgi-bin/browse-edgar?action=getcompany&amp;CIK=0000912093&amp;type=20-F&amp;dateb=&amp;owner=include&amp;count=5" TargetMode="External" Id="rId9" /><Relationship Type="http://schemas.openxmlformats.org/officeDocument/2006/relationships/hyperlink" Target="https://www.infineon.com/cms/en/about-infineon/investor/reports-and-presentations/annual-report/" TargetMode="External" Id="rId10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sec.gov/cgi-bin/browse-edgar?action=getcompany&amp;CIK=0001045810&amp;type=10-K&amp;dateb=&amp;owner=include&amp;count=5" TargetMode="External" Id="rId1" /><Relationship Type="http://schemas.openxmlformats.org/officeDocument/2006/relationships/hyperlink" Target="https://www.sec.gov/cgi-bin/browse-edgar?action=getcompany&amp;CIK=0000002488&amp;type=10-K&amp;dateb=&amp;owner=include&amp;count=5" TargetMode="External" Id="rId2" /><Relationship Type="http://schemas.openxmlformats.org/officeDocument/2006/relationships/hyperlink" Target="https://www.sec.gov/cgi-bin/browse-edgar?action=getcompany&amp;CIK=0000050863&amp;type=10-K&amp;dateb=&amp;owner=include&amp;count=5" TargetMode="External" Id="rId3" /><Relationship Type="http://schemas.openxmlformats.org/officeDocument/2006/relationships/hyperlink" Target="https://www.sec.gov/cgi-bin/browse-edgar?action=getcompany&amp;CIK=0000097476&amp;type=10-K&amp;dateb=&amp;owner=include&amp;count=5" TargetMode="External" Id="rId4" /><Relationship Type="http://schemas.openxmlformats.org/officeDocument/2006/relationships/hyperlink" Target="https://www.sec.gov/cgi-bin/browse-edgar?action=getcompany&amp;CIK=0000804328&amp;type=10-K&amp;dateb=&amp;owner=include&amp;count=5" TargetMode="External" Id="rId5" /><Relationship Type="http://schemas.openxmlformats.org/officeDocument/2006/relationships/hyperlink" Target="https://www.sec.gov/cgi-bin/browse-edgar?action=getcompany&amp;CIK=0001413447&amp;type=20-F&amp;dateb=&amp;owner=include&amp;count=5" TargetMode="External" Id="rId6" /><Relationship Type="http://schemas.openxmlformats.org/officeDocument/2006/relationships/hyperlink" Target="https://www.sec.gov/cgi-bin/browse-edgar?action=getcompany&amp;CIK=0001046179&amp;type=20-F&amp;dateb=&amp;owner=include&amp;count=5" TargetMode="External" Id="rId7" /><Relationship Type="http://schemas.openxmlformats.org/officeDocument/2006/relationships/hyperlink" Target="https://www.sec.gov/cgi-bin/browse-edgar?action=getcompany&amp;CIK=0000723125&amp;type=10-K&amp;dateb=&amp;owner=include&amp;count=5" TargetMode="External" Id="rId8" /><Relationship Type="http://schemas.openxmlformats.org/officeDocument/2006/relationships/hyperlink" Target="https://www.sec.gov/cgi-bin/browse-edgar?action=getcompany&amp;CIK=0000912093&amp;type=20-F&amp;dateb=&amp;owner=include&amp;count=5" TargetMode="External" Id="rId9" /><Relationship Type="http://schemas.openxmlformats.org/officeDocument/2006/relationships/hyperlink" Target="https://www.infineon.com/cms/en/about-infineon/investor/reports-and-presentations/annual-report/" TargetMode="External" Id="rId10" /><Relationship Type="http://schemas.openxmlformats.org/officeDocument/2006/relationships/hyperlink" Target="https://efts.sec.gov/LATEST/search-index?q=%22accounts+receivable%22&amp;forms=10-K&amp;dateRange=custom&amp;startdt=2024-01-01&amp;enddt=2025-03-31" TargetMode="External" Id="rId11" /><Relationship Type="http://schemas.openxmlformats.org/officeDocument/2006/relationships/hyperlink" Target="https://www.sec.gov/cgi-bin/browse-edgar?company=&amp;CIK=&amp;type=10-K&amp;dateb=&amp;owner=include&amp;count=40&amp;search_text=&amp;action=getcompany" TargetMode="External" Id="rId12" /><Relationship Type="http://schemas.openxmlformats.org/officeDocument/2006/relationships/hyperlink" Target="https://efts.sec.gov/LATEST/search-index?q=&amp;forms=10-K%2C20-F&amp;dateRange=custom&amp;startdt=2024-07-01&amp;enddt=2025-04-30" TargetMode="External" Id="rId13" /><Relationship Type="http://schemas.openxmlformats.org/officeDocument/2006/relationships/hyperlink" Target="https://investor.nvidia.com/financial-information/annual-reports/default.aspx" TargetMode="External" Id="rId14" /><Relationship Type="http://schemas.openxmlformats.org/officeDocument/2006/relationships/hyperlink" Target="https://ir.amd.com/financial-information/annual-reports" TargetMode="External" Id="rId15" /><Relationship Type="http://schemas.openxmlformats.org/officeDocument/2006/relationships/hyperlink" Target="https://investors.intel.com/financial-information/annual-reports" TargetMode="External" Id="rId16" /><Relationship Type="http://schemas.openxmlformats.org/officeDocument/2006/relationships/hyperlink" Target="https://ir.ti.com/financial-information/annual-reports" TargetMode="External" Id="rId17" /><Relationship Type="http://schemas.openxmlformats.org/officeDocument/2006/relationships/hyperlink" Target="https://investor.qualcomm.com/financial-information/annual-reports" TargetMode="External" Id="rId18" /><Relationship Type="http://schemas.openxmlformats.org/officeDocument/2006/relationships/hyperlink" Target="https://investors.nxp.com/financial-information/annual-reports" TargetMode="External" Id="rId19" /><Relationship Type="http://schemas.openxmlformats.org/officeDocument/2006/relationships/hyperlink" Target="https://investor.tsmc.com/english/annual-reports" TargetMode="External" Id="rId20" /><Relationship Type="http://schemas.openxmlformats.org/officeDocument/2006/relationships/hyperlink" Target="https://investors.micron.com/financial-information/annual-reports" TargetMode="External" Id="rId21" /><Relationship Type="http://schemas.openxmlformats.org/officeDocument/2006/relationships/hyperlink" Target="https://investors.st.com/financial-results-and-reports/annual-reports" TargetMode="External" Id="rId22" /><Relationship Type="http://schemas.openxmlformats.org/officeDocument/2006/relationships/hyperlink" Target="https://www.infineon.com/cms/en/about-infineon/investor/reports-and-presentations/annual-report/" TargetMode="External" Id="rId23" /><Relationship Type="http://schemas.openxmlformats.org/officeDocument/2006/relationships/hyperlink" Target="https://www.federalreserve.gov/releases/h10/summary/" TargetMode="External" Id="rId24" /><Relationship Type="http://schemas.openxmlformats.org/officeDocument/2006/relationships/hyperlink" Target="https://www.federalreserve.gov/releases/h10/Hist/" TargetMode="External" Id="rId25" /><Relationship Type="http://schemas.openxmlformats.org/officeDocument/2006/relationships/hyperlink" Target="https://data.ecb.europa.eu/data/datasets/EXR/EXR.D.USD.EUR.SP00.A" TargetMode="External" Id="rId26" /><Relationship Type="http://schemas.openxmlformats.org/officeDocument/2006/relationships/hyperlink" Target="https://www.sec.gov/cgi-bin/browse-edgar?action=getcompany&amp;CIK=0001046179&amp;type=20-F&amp;dateb=&amp;owner=include&amp;count=5" TargetMode="External" Id="rId27" /><Relationship Type="http://schemas.openxmlformats.org/officeDocument/2006/relationships/hyperlink" Target="https://www.infineon.com/cms/en/about-infineon/investor/reports-and-presentations/annual-report/" TargetMode="External" Id="rId28" /><Relationship Type="http://schemas.openxmlformats.org/officeDocument/2006/relationships/hyperlink" Target="https://www.cfainstitute.org/en/membership/professional-development/refresher-readings/working-capital-management" TargetMode="External" Id="rId29" /><Relationship Type="http://schemas.openxmlformats.org/officeDocument/2006/relationships/hyperlink" Target="https://www.investopedia.com/terms/c/cashconversioncycle.asp" TargetMode="External" Id="rId30" /><Relationship Type="http://schemas.openxmlformats.org/officeDocument/2006/relationships/hyperlink" Target="https://www.investopedia.com/terms/d/dso.asp" TargetMode="External" Id="rId31" /><Relationship Type="http://schemas.openxmlformats.org/officeDocument/2006/relationships/hyperlink" Target="https://www.investopedia.com/terms/d/days-sales-inventory-dsi.asp" TargetMode="External" Id="rId32" /><Relationship Type="http://schemas.openxmlformats.org/officeDocument/2006/relationships/hyperlink" Target="https://www.investopedia.com/terms/d/days-payable-outstanding.asp" TargetMode="External" Id="rId33" /><Relationship Type="http://schemas.openxmlformats.org/officeDocument/2006/relationships/hyperlink" Target="https://www.investopedia.com/terms/n/workingcapital.asp" TargetMode="External" Id="rId34" /><Relationship Type="http://schemas.openxmlformats.org/officeDocument/2006/relationships/hyperlink" Target="https://www.investopedia.com/terms/c/currentratio.asp" TargetMode="External" Id="rId35" /><Relationship Type="http://schemas.openxmlformats.org/officeDocument/2006/relationships/hyperlink" Target="https://www.investopedia.com/terms/o/operating-cash-flow-margin.asp" TargetMode="External" Id="rId36" /><Relationship Type="http://schemas.openxmlformats.org/officeDocument/2006/relationships/hyperlink" Target="https://asc.fasb.org/210" TargetMode="External" Id="rId37" /><Relationship Type="http://schemas.openxmlformats.org/officeDocument/2006/relationships/hyperlink" Target="https://www.ifrs.org/issued-standards/list-of-standards/ias-1-presentation-of-financial-statements/" TargetMode="External" Id="rId38" /><Relationship Type="http://schemas.openxmlformats.org/officeDocument/2006/relationships/hyperlink" Target="https://www.ifrs.org/issued-standards/list-of-standards/ias-2-inventories/" TargetMode="External" Id="rId39" /><Relationship Type="http://schemas.openxmlformats.org/officeDocument/2006/relationships/hyperlink" Target="https://www.semiconductors.org/industry-statistics/" TargetMode="External" Id="rId40" /><Relationship Type="http://schemas.openxmlformats.org/officeDocument/2006/relationships/hyperlink" Target="https://www.mckinsey.com/capabilities/operations/our-insights/the-power-of-working-capital" TargetMode="External" Id="rId41" /><Relationship Type="http://schemas.openxmlformats.org/officeDocument/2006/relationships/hyperlink" Target="https://taulia.com/solutions/supply-chain-finance/" TargetMode="External" Id="rId42" /><Relationship Type="http://schemas.openxmlformats.org/officeDocument/2006/relationships/hyperlink" Target="https://efts.sec.gov/LATEST/search-index?q=%22NVIDIA+Corporation%22&amp;entity=NVIDIA&amp;forms=10-K&amp;dateRange=custom&amp;startdt=2025-01-01&amp;enddt=2025-06-30" TargetMode="External" Id="rId43" /><Relationship Type="http://schemas.openxmlformats.org/officeDocument/2006/relationships/hyperlink" Target="https://efts.sec.gov/LATEST/search-index?q=%22Advanced+Micro+Devices%22&amp;entity=AMD&amp;forms=10-K&amp;dateRange=custom&amp;startdt=2025-01-01&amp;enddt=2025-06-30" TargetMode="External" Id="rId44" /><Relationship Type="http://schemas.openxmlformats.org/officeDocument/2006/relationships/hyperlink" Target="https://efts.sec.gov/LATEST/search-index?q=%22Intel+Corporation%22&amp;entity=Intel&amp;forms=10-K&amp;dateRange=custom&amp;startdt=2025-01-01&amp;enddt=2025-06-30" TargetMode="External" Id="rId45" /><Relationship Type="http://schemas.openxmlformats.org/officeDocument/2006/relationships/hyperlink" Target="https://efts.sec.gov/LATEST/search-index?q=%22Texas+Instruments%22&amp;entity=Texas+Instruments&amp;forms=10-K&amp;dateRange=custom&amp;startdt=2025-01-01&amp;enddt=2025-06-30" TargetMode="External" Id="rId46" /><Relationship Type="http://schemas.openxmlformats.org/officeDocument/2006/relationships/hyperlink" Target="https://efts.sec.gov/LATEST/search-index?q=%22Qualcomm+Incorporated%22&amp;entity=Qualcomm&amp;forms=10-K&amp;dateRange=custom&amp;startdt=2024-10-01&amp;enddt=2025-03-31" TargetMode="External" Id="rId47" /><Relationship Type="http://schemas.openxmlformats.org/officeDocument/2006/relationships/hyperlink" Target="https://efts.sec.gov/LATEST/search-index?q=%22NXP+Semiconductors%22&amp;entity=NXP&amp;forms=20-F&amp;dateRange=custom&amp;startdt=2025-01-01&amp;enddt=2025-06-30" TargetMode="External" Id="rId48" /><Relationship Type="http://schemas.openxmlformats.org/officeDocument/2006/relationships/hyperlink" Target="https://efts.sec.gov/LATEST/search-index?q=%22Taiwan+Semiconductor%22&amp;entity=TSMC&amp;forms=20-F&amp;dateRange=custom&amp;startdt=2025-01-01&amp;enddt=2025-06-30" TargetMode="External" Id="rId49" /><Relationship Type="http://schemas.openxmlformats.org/officeDocument/2006/relationships/hyperlink" Target="https://efts.sec.gov/LATEST/search-index?q=%22Micron+Technology%22&amp;entity=Micron&amp;forms=10-K&amp;dateRange=custom&amp;startdt=2024-09-01&amp;enddt=2025-02-28" TargetMode="External" Id="rId50" /><Relationship Type="http://schemas.openxmlformats.org/officeDocument/2006/relationships/hyperlink" Target="https://efts.sec.gov/LATEST/search-index?q=%22STMicroelectronics%22&amp;entity=STMicroelectronics&amp;forms=20-F&amp;dateRange=custom&amp;startdt=2025-01-01&amp;enddt=2025-06-30" TargetMode="External" Id="rId51" /><Relationship Type="http://schemas.openxmlformats.org/officeDocument/2006/relationships/hyperlink" Target="https://efts.sec.gov/LATEST/search-index?q=%22Infineon+Technologies%22&amp;entity=Infineon&amp;forms=20-F&amp;dateRange=custom&amp;startdt=2024-10-01&amp;enddt=2025-04-30" TargetMode="External" Id="rId52" /><Relationship Type="http://schemas.openxmlformats.org/officeDocument/2006/relationships/hyperlink" Target="https://www.semi.org/en/market-research-statistics" TargetMode="External" Id="rId53" /><Relationship Type="http://schemas.openxmlformats.org/officeDocument/2006/relationships/hyperlink" Target="https://www.icinsights.com/" TargetMode="External" Id="rId54" /><Relationship Type="http://schemas.openxmlformats.org/officeDocument/2006/relationships/hyperlink" Target="https://www.gartner.com/en/supply-chain/research/top-25-supply-chains" TargetMode="External" Id="rId55" /><Relationship Type="http://schemas.openxmlformats.org/officeDocument/2006/relationships/hyperlink" Target="https://ir.ti.com/news-releases/news-release-details/texas-instruments-reports-third-quarter-2023-financial-results" TargetMode="External" Id="rId56" /><Relationship Type="http://schemas.openxmlformats.org/officeDocument/2006/relationships/hyperlink" Target="https://www.intc.com/news-releases/news-release-details/intel-reports-fourth-quarter-and-full-year-2024-financial-results" TargetMode="External" Id="rId57" /><Relationship Type="http://schemas.openxmlformats.org/officeDocument/2006/relationships/hyperlink" Target="https://www.sec.gov/cgi-bin/browse-edgar?action=getcompany&amp;CIK=0000804328&amp;type=10-K&amp;dateb=&amp;owner=include&amp;count=5" TargetMode="External" Id="rId58" /><Relationship Type="http://schemas.openxmlformats.org/officeDocument/2006/relationships/hyperlink" Target="https://www.sec.gov/cgi-bin/browse-edgar?action=getcompany&amp;CIK=0000723125&amp;type=10-K&amp;dateb=&amp;owner=include&amp;count=5" TargetMode="External" Id="rId59" /><Relationship Type="http://schemas.openxmlformats.org/officeDocument/2006/relationships/hyperlink" Target="https://investor.tsmc.com/english/annual-reports" TargetMode="External" Id="rId60" /><Relationship Type="http://schemas.openxmlformats.org/officeDocument/2006/relationships/hyperlink" Target="https://www.infineon.com/cms/en/about-infineon/investor/reports-and-presentations/annual-report/" TargetMode="External" Id="rId61" /><Relationship Type="http://schemas.openxmlformats.org/officeDocument/2006/relationships/hyperlink" Target="https://www.investopedia.com/terms/a/assetturnover.asp" TargetMode="External" Id="rId62" /><Relationship Type="http://schemas.openxmlformats.org/officeDocument/2006/relationships/hyperlink" Target="https://www.investopedia.com/terms/w/workingcapitalturnover.asp" TargetMode="External" Id="rId63" /><Relationship Type="http://schemas.openxmlformats.org/officeDocument/2006/relationships/hyperlink" Target="https://www.cfainstitute.org/en/membership/professional-development/refresher-readings/inventories" TargetMode="External" Id="rId64" /><Relationship Type="http://schemas.openxmlformats.org/officeDocument/2006/relationships/hyperlink" Target="https://www.ifrs.org/issued-standards/list-of-standards/ifrs-15-revenue-from-contracts-with-customers/" TargetMode="External" Id="rId65" /><Relationship Type="http://schemas.openxmlformats.org/officeDocument/2006/relationships/hyperlink" Target="https://asc.fasb.org/606" TargetMode="External" Id="rId66" /><Relationship Type="http://schemas.openxmlformats.org/officeDocument/2006/relationships/hyperlink" Target="https://www.federalreserve.gov/releases/h10/20250120/" TargetMode="Externa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3" customWidth="1" min="2" max="2"/>
    <col width="17" customWidth="1" min="3" max="3"/>
    <col width="22" customWidth="1" min="4" max="4"/>
    <col width="22" customWidth="1" min="5" max="5"/>
    <col width="17" customWidth="1" min="6" max="6"/>
    <col width="17" customWidth="1" min="7" max="7"/>
    <col width="40" customWidth="1" min="8" max="8"/>
    <col width="4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STEP 1 — RAW DATA EXTRACTION  (all values in USD millions)</t>
        </is>
      </c>
    </row>
    <row r="2">
      <c r="A2" s="2" t="inlineStr">
        <is>
          <t>1A — Company Master</t>
        </is>
      </c>
    </row>
    <row r="3">
      <c r="A3" s="3" t="inlineStr">
        <is>
          <t>#</t>
        </is>
      </c>
      <c r="B3" s="3" t="inlineStr">
        <is>
          <t>Company</t>
        </is>
      </c>
      <c r="C3" s="3" t="inlineStr">
        <is>
          <t>Ticker</t>
        </is>
      </c>
      <c r="D3" s="3" t="inlineStr">
        <is>
          <t>FY End (Current)</t>
        </is>
      </c>
      <c r="E3" s="3" t="inlineStr">
        <is>
          <t>FY End (Prior)</t>
        </is>
      </c>
      <c r="F3" s="3" t="inlineStr">
        <is>
          <t>Standard</t>
        </is>
      </c>
      <c r="G3" s="3" t="inlineStr">
        <is>
          <t>Source Currency</t>
        </is>
      </c>
      <c r="H3" s="3" t="inlineStr">
        <is>
          <t>FX Rate / Notes</t>
        </is>
      </c>
    </row>
    <row r="4">
      <c r="A4" s="4" t="n">
        <v>1</v>
      </c>
      <c r="B4" s="4" t="inlineStr">
        <is>
          <t>NVIDIA</t>
        </is>
      </c>
      <c r="C4" s="4" t="inlineStr">
        <is>
          <t>NVDA</t>
        </is>
      </c>
      <c r="D4" s="4" t="inlineStr">
        <is>
          <t>Jan 26 2025 (FY2025)</t>
        </is>
      </c>
      <c r="E4" s="4" t="inlineStr">
        <is>
          <t>Jan 28 2024 (FY2024)</t>
        </is>
      </c>
      <c r="F4" s="4" t="inlineStr">
        <is>
          <t>US GAAP</t>
        </is>
      </c>
      <c r="G4" s="4" t="inlineStr">
        <is>
          <t>USD</t>
        </is>
      </c>
      <c r="H4" s="4" t="inlineStr">
        <is>
          <t>—</t>
        </is>
      </c>
    </row>
    <row r="5">
      <c r="A5" s="5" t="n">
        <v>2</v>
      </c>
      <c r="B5" s="5" t="inlineStr">
        <is>
          <t>AMD</t>
        </is>
      </c>
      <c r="C5" s="5" t="inlineStr">
        <is>
          <t>AMD</t>
        </is>
      </c>
      <c r="D5" s="5" t="inlineStr">
        <is>
          <t>Dec 28 2024</t>
        </is>
      </c>
      <c r="E5" s="5" t="inlineStr">
        <is>
          <t>Dec 30 2023</t>
        </is>
      </c>
      <c r="F5" s="5" t="inlineStr">
        <is>
          <t>US GAAP</t>
        </is>
      </c>
      <c r="G5" s="5" t="inlineStr">
        <is>
          <t>USD</t>
        </is>
      </c>
      <c r="H5" s="5" t="inlineStr">
        <is>
          <t>—</t>
        </is>
      </c>
    </row>
    <row r="6">
      <c r="A6" s="4" t="n">
        <v>3</v>
      </c>
      <c r="B6" s="4" t="inlineStr">
        <is>
          <t>Intel</t>
        </is>
      </c>
      <c r="C6" s="4" t="inlineStr">
        <is>
          <t>INTC</t>
        </is>
      </c>
      <c r="D6" s="4" t="inlineStr">
        <is>
          <t>Dec 28 2024</t>
        </is>
      </c>
      <c r="E6" s="4" t="inlineStr">
        <is>
          <t>Dec 30 2023</t>
        </is>
      </c>
      <c r="F6" s="4" t="inlineStr">
        <is>
          <t>US GAAP</t>
        </is>
      </c>
      <c r="G6" s="4" t="inlineStr">
        <is>
          <t>USD</t>
        </is>
      </c>
      <c r="H6" s="4" t="inlineStr">
        <is>
          <t>—</t>
        </is>
      </c>
    </row>
    <row r="7">
      <c r="A7" s="5" t="n">
        <v>4</v>
      </c>
      <c r="B7" s="5" t="inlineStr">
        <is>
          <t>Texas Instruments</t>
        </is>
      </c>
      <c r="C7" s="5" t="inlineStr">
        <is>
          <t>TXN</t>
        </is>
      </c>
      <c r="D7" s="5" t="inlineStr">
        <is>
          <t>Dec 31 2024</t>
        </is>
      </c>
      <c r="E7" s="5" t="inlineStr">
        <is>
          <t>Dec 31 2023</t>
        </is>
      </c>
      <c r="F7" s="5" t="inlineStr">
        <is>
          <t>US GAAP</t>
        </is>
      </c>
      <c r="G7" s="5" t="inlineStr">
        <is>
          <t>USD</t>
        </is>
      </c>
      <c r="H7" s="5" t="inlineStr">
        <is>
          <t>—</t>
        </is>
      </c>
    </row>
    <row r="8">
      <c r="A8" s="4" t="n">
        <v>5</v>
      </c>
      <c r="B8" s="4" t="inlineStr">
        <is>
          <t>Qualcomm</t>
        </is>
      </c>
      <c r="C8" s="4" t="inlineStr">
        <is>
          <t>QCOM</t>
        </is>
      </c>
      <c r="D8" s="4" t="inlineStr">
        <is>
          <t>Sep 29 2024</t>
        </is>
      </c>
      <c r="E8" s="4" t="inlineStr">
        <is>
          <t>Sep 24 2023</t>
        </is>
      </c>
      <c r="F8" s="4" t="inlineStr">
        <is>
          <t>US GAAP</t>
        </is>
      </c>
      <c r="G8" s="4" t="inlineStr">
        <is>
          <t>USD</t>
        </is>
      </c>
      <c r="H8" s="4" t="inlineStr">
        <is>
          <t>—</t>
        </is>
      </c>
    </row>
    <row r="9">
      <c r="A9" s="5" t="n">
        <v>6</v>
      </c>
      <c r="B9" s="5" t="inlineStr">
        <is>
          <t>NXP Semiconductors</t>
        </is>
      </c>
      <c r="C9" s="5" t="inlineStr">
        <is>
          <t>NXPI</t>
        </is>
      </c>
      <c r="D9" s="5" t="inlineStr">
        <is>
          <t>Dec 31 2024</t>
        </is>
      </c>
      <c r="E9" s="5" t="inlineStr">
        <is>
          <t>Dec 31 2023</t>
        </is>
      </c>
      <c r="F9" s="5" t="inlineStr">
        <is>
          <t>US GAAP</t>
        </is>
      </c>
      <c r="G9" s="5" t="inlineStr">
        <is>
          <t>USD</t>
        </is>
      </c>
      <c r="H9" s="5" t="inlineStr">
        <is>
          <t>—</t>
        </is>
      </c>
    </row>
    <row r="10">
      <c r="A10" s="4" t="n">
        <v>7</v>
      </c>
      <c r="B10" s="4" t="inlineStr">
        <is>
          <t>TSMC</t>
        </is>
      </c>
      <c r="C10" s="4" t="inlineStr">
        <is>
          <t>TSM</t>
        </is>
      </c>
      <c r="D10" s="4" t="inlineStr">
        <is>
          <t>Dec 31 2024</t>
        </is>
      </c>
      <c r="E10" s="4" t="inlineStr">
        <is>
          <t>Dec 31 2023</t>
        </is>
      </c>
      <c r="F10" s="4" t="inlineStr">
        <is>
          <t>IFRS</t>
        </is>
      </c>
      <c r="G10" s="4" t="inlineStr">
        <is>
          <t>TWD</t>
        </is>
      </c>
      <c r="H10" s="4" t="inlineStr">
        <is>
          <t>FY2024: 32.0 TWD/USD; FY2023: 31.1 TWD/USD [A]</t>
        </is>
      </c>
    </row>
    <row r="11">
      <c r="A11" s="5" t="n">
        <v>8</v>
      </c>
      <c r="B11" s="5" t="inlineStr">
        <is>
          <t>Micron Technology</t>
        </is>
      </c>
      <c r="C11" s="5" t="inlineStr">
        <is>
          <t>MU</t>
        </is>
      </c>
      <c r="D11" s="5" t="inlineStr">
        <is>
          <t>Aug 29 2024</t>
        </is>
      </c>
      <c r="E11" s="5" t="inlineStr">
        <is>
          <t>Aug 31 2023</t>
        </is>
      </c>
      <c r="F11" s="5" t="inlineStr">
        <is>
          <t>US GAAP</t>
        </is>
      </c>
      <c r="G11" s="5" t="inlineStr">
        <is>
          <t>USD</t>
        </is>
      </c>
      <c r="H11" s="5" t="inlineStr">
        <is>
          <t>— (⚠ FY23 gross loss)</t>
        </is>
      </c>
    </row>
    <row r="12">
      <c r="A12" s="4" t="n">
        <v>9</v>
      </c>
      <c r="B12" s="4" t="inlineStr">
        <is>
          <t>STMicroelectronics</t>
        </is>
      </c>
      <c r="C12" s="4" t="inlineStr">
        <is>
          <t>STM</t>
        </is>
      </c>
      <c r="D12" s="4" t="inlineStr">
        <is>
          <t>Dec 31 2024</t>
        </is>
      </c>
      <c r="E12" s="4" t="inlineStr">
        <is>
          <t>Dec 31 2023</t>
        </is>
      </c>
      <c r="F12" s="4" t="inlineStr">
        <is>
          <t>IFRS</t>
        </is>
      </c>
      <c r="G12" s="4" t="inlineStr">
        <is>
          <t>USD</t>
        </is>
      </c>
      <c r="H12" s="4" t="inlineStr">
        <is>
          <t>Reported in USD</t>
        </is>
      </c>
    </row>
    <row r="13">
      <c r="A13" s="5" t="n">
        <v>10</v>
      </c>
      <c r="B13" s="5" t="inlineStr">
        <is>
          <t>Infineon Technologies</t>
        </is>
      </c>
      <c r="C13" s="5" t="inlineStr">
        <is>
          <t>IFX</t>
        </is>
      </c>
      <c r="D13" s="5" t="inlineStr">
        <is>
          <t>Sep 30 2024</t>
        </is>
      </c>
      <c r="E13" s="5" t="inlineStr">
        <is>
          <t>Sep 30 2023</t>
        </is>
      </c>
      <c r="F13" s="5" t="inlineStr">
        <is>
          <t>IFRS</t>
        </is>
      </c>
      <c r="G13" s="5" t="inlineStr">
        <is>
          <t>EUR</t>
        </is>
      </c>
      <c r="H13" s="5" t="inlineStr">
        <is>
          <t>FY2024: 1.085 USD/EUR; FY2023: 1.082 USD/EUR [A]</t>
        </is>
      </c>
    </row>
    <row r="15">
      <c r="A15" s="2" t="inlineStr">
        <is>
          <t>1B — Income Statement Data (USD M)</t>
        </is>
      </c>
    </row>
    <row r="16">
      <c r="A16" s="3" t="inlineStr">
        <is>
          <t>Company</t>
        </is>
      </c>
      <c r="B16" s="3" t="inlineStr">
        <is>
          <t>Revenue CY</t>
        </is>
      </c>
      <c r="C16" s="3" t="inlineStr">
        <is>
          <t>Revenue PY</t>
        </is>
      </c>
      <c r="D16" s="3" t="inlineStr">
        <is>
          <t>COGS CY</t>
        </is>
      </c>
      <c r="E16" s="3" t="inlineStr">
        <is>
          <t>COGS PY</t>
        </is>
      </c>
      <c r="F16" s="3" t="inlineStr">
        <is>
          <t>Gross Margin CY</t>
        </is>
      </c>
      <c r="G16" s="3" t="inlineStr">
        <is>
          <t>Gross Margin PY</t>
        </is>
      </c>
      <c r="H16" s="3" t="inlineStr">
        <is>
          <t>COGS Method</t>
        </is>
      </c>
      <c r="I16" s="3" t="inlineStr">
        <is>
          <t>Flag</t>
        </is>
      </c>
    </row>
    <row r="17">
      <c r="A17" s="4" t="inlineStr">
        <is>
          <t>NVIDIA</t>
        </is>
      </c>
      <c r="B17" s="4" t="n">
        <v>130497</v>
      </c>
      <c r="C17" s="4" t="n">
        <v>60922</v>
      </c>
      <c r="D17" s="4" t="n">
        <v>36998</v>
      </c>
      <c r="E17" s="4" t="n">
        <v>16621</v>
      </c>
      <c r="F17" s="4" t="inlineStr">
        <is>
          <t>71.7%</t>
        </is>
      </c>
      <c r="G17" s="4" t="inlineStr">
        <is>
          <t>72.7%</t>
        </is>
      </c>
      <c r="H17" s="4" t="inlineStr">
        <is>
          <t>Directly stated</t>
        </is>
      </c>
      <c r="I17" s="4" t="inlineStr"/>
    </row>
    <row r="18">
      <c r="A18" s="5" t="inlineStr">
        <is>
          <t>AMD</t>
        </is>
      </c>
      <c r="B18" s="5" t="n">
        <v>25785</v>
      </c>
      <c r="C18" s="5" t="n">
        <v>22680</v>
      </c>
      <c r="D18" s="5" t="n">
        <v>12408</v>
      </c>
      <c r="E18" s="5" t="n">
        <v>11550</v>
      </c>
      <c r="F18" s="5" t="inlineStr">
        <is>
          <t>51.9%</t>
        </is>
      </c>
      <c r="G18" s="5" t="inlineStr">
        <is>
          <t>49.1%</t>
        </is>
      </c>
      <c r="H18" s="5" t="inlineStr">
        <is>
          <t>Directly stated</t>
        </is>
      </c>
      <c r="I18" s="5" t="inlineStr"/>
    </row>
    <row r="19">
      <c r="A19" s="4" t="inlineStr">
        <is>
          <t>Intel</t>
        </is>
      </c>
      <c r="B19" s="4" t="n">
        <v>53101</v>
      </c>
      <c r="C19" s="4" t="n">
        <v>54228</v>
      </c>
      <c r="D19" s="4" t="n">
        <v>35737</v>
      </c>
      <c r="E19" s="4" t="n">
        <v>31021</v>
      </c>
      <c r="F19" s="4" t="inlineStr">
        <is>
          <t>32.7%</t>
        </is>
      </c>
      <c r="G19" s="4" t="inlineStr">
        <is>
          <t>42.8%</t>
        </is>
      </c>
      <c r="H19" s="4" t="inlineStr">
        <is>
          <t>Revenue − Gross Profit</t>
        </is>
      </c>
      <c r="I19" s="6" t="inlineStr">
        <is>
          <t>⚠ Includes ~$5.2B asset impairment in COGS</t>
        </is>
      </c>
    </row>
    <row r="20">
      <c r="A20" s="5" t="inlineStr">
        <is>
          <t>TXN</t>
        </is>
      </c>
      <c r="B20" s="5" t="n">
        <v>15640</v>
      </c>
      <c r="C20" s="5" t="n">
        <v>17519</v>
      </c>
      <c r="D20" s="5" t="n">
        <v>6240</v>
      </c>
      <c r="E20" s="5" t="n">
        <v>6491</v>
      </c>
      <c r="F20" s="5" t="inlineStr">
        <is>
          <t>60.1%</t>
        </is>
      </c>
      <c r="G20" s="5" t="inlineStr">
        <is>
          <t>62.9%</t>
        </is>
      </c>
      <c r="H20" s="5" t="inlineStr">
        <is>
          <t>Directly stated</t>
        </is>
      </c>
      <c r="I20" s="5" t="inlineStr"/>
    </row>
    <row r="21">
      <c r="A21" s="4" t="inlineStr">
        <is>
          <t>Qualcomm</t>
        </is>
      </c>
      <c r="B21" s="4" t="n">
        <v>38962</v>
      </c>
      <c r="C21" s="4" t="n">
        <v>35820</v>
      </c>
      <c r="D21" s="4" t="n">
        <v>17026</v>
      </c>
      <c r="E21" s="4" t="n">
        <v>15807</v>
      </c>
      <c r="F21" s="4" t="inlineStr">
        <is>
          <t>56.3%</t>
        </is>
      </c>
      <c r="G21" s="4" t="inlineStr">
        <is>
          <t>55.9%</t>
        </is>
      </c>
      <c r="H21" s="4" t="inlineStr">
        <is>
          <t>Directly stated</t>
        </is>
      </c>
      <c r="I21" s="4" t="inlineStr"/>
    </row>
    <row r="22">
      <c r="A22" s="5" t="inlineStr">
        <is>
          <t>NXP</t>
        </is>
      </c>
      <c r="B22" s="5" t="n">
        <v>12613</v>
      </c>
      <c r="C22" s="5" t="n">
        <v>13274</v>
      </c>
      <c r="D22" s="5" t="n">
        <v>5348</v>
      </c>
      <c r="E22" s="5" t="n">
        <v>5708</v>
      </c>
      <c r="F22" s="5" t="inlineStr">
        <is>
          <t>57.6%</t>
        </is>
      </c>
      <c r="G22" s="5" t="inlineStr">
        <is>
          <t>57.0%</t>
        </is>
      </c>
      <c r="H22" s="5" t="inlineStr">
        <is>
          <t>Directly stated</t>
        </is>
      </c>
      <c r="I22" s="5" t="inlineStr"/>
    </row>
    <row r="23">
      <c r="A23" s="4" t="inlineStr">
        <is>
          <t>TSMC</t>
        </is>
      </c>
      <c r="B23" s="4" t="n">
        <v>90447</v>
      </c>
      <c r="C23" s="4" t="n">
        <v>69508</v>
      </c>
      <c r="D23" s="4" t="n">
        <v>39686</v>
      </c>
      <c r="E23" s="4" t="n">
        <v>31601</v>
      </c>
      <c r="F23" s="4" t="inlineStr">
        <is>
          <t>56.1%</t>
        </is>
      </c>
      <c r="G23" s="4" t="inlineStr">
        <is>
          <t>54.5%</t>
        </is>
      </c>
      <c r="H23" s="4" t="inlineStr">
        <is>
          <t>Directly stated (TWD→USD)</t>
        </is>
      </c>
      <c r="I23" s="4" t="inlineStr"/>
    </row>
    <row r="24">
      <c r="A24" s="5" t="inlineStr">
        <is>
          <t>Micron</t>
        </is>
      </c>
      <c r="B24" s="5" t="n">
        <v>25111</v>
      </c>
      <c r="C24" s="5" t="n">
        <v>15540</v>
      </c>
      <c r="D24" s="5" t="n">
        <v>19440</v>
      </c>
      <c r="E24" s="5" t="n">
        <v>17446</v>
      </c>
      <c r="F24" s="5" t="inlineStr">
        <is>
          <t>22.6%</t>
        </is>
      </c>
      <c r="G24" s="5" t="inlineStr">
        <is>
          <t>-12.3%</t>
        </is>
      </c>
      <c r="H24" s="5" t="inlineStr">
        <is>
          <t>Revenue − Gross Profit</t>
        </is>
      </c>
      <c r="I24" s="7" t="inlineStr">
        <is>
          <t>⚠ FY2023 gross loss (memory trough)</t>
        </is>
      </c>
    </row>
    <row r="25">
      <c r="A25" s="4" t="inlineStr">
        <is>
          <t>STM</t>
        </is>
      </c>
      <c r="B25" s="4" t="n">
        <v>13276</v>
      </c>
      <c r="C25" s="4" t="n">
        <v>17290</v>
      </c>
      <c r="D25" s="4" t="n">
        <v>8351</v>
      </c>
      <c r="E25" s="4" t="n">
        <v>9146</v>
      </c>
      <c r="F25" s="4" t="inlineStr">
        <is>
          <t>37.1%</t>
        </is>
      </c>
      <c r="G25" s="4" t="inlineStr">
        <is>
          <t>47.1%</t>
        </is>
      </c>
      <c r="H25" s="4" t="inlineStr">
        <is>
          <t>Directly stated</t>
        </is>
      </c>
      <c r="I25" s="4" t="inlineStr"/>
    </row>
    <row r="26">
      <c r="A26" s="5" t="inlineStr">
        <is>
          <t>Infineon</t>
        </is>
      </c>
      <c r="B26" s="5" t="n">
        <v>8390</v>
      </c>
      <c r="C26" s="5" t="n">
        <v>8688</v>
      </c>
      <c r="D26" s="5" t="n">
        <v>5160</v>
      </c>
      <c r="E26" s="5" t="n">
        <v>4691</v>
      </c>
      <c r="F26" s="5" t="inlineStr">
        <is>
          <t>38.5%</t>
        </is>
      </c>
      <c r="G26" s="5" t="inlineStr">
        <is>
          <t>46.0%</t>
        </is>
      </c>
      <c r="H26" s="5" t="inlineStr">
        <is>
          <t>EUR values × FX rate [A]</t>
        </is>
      </c>
      <c r="I26" s="5" t="inlineStr"/>
    </row>
    <row r="28">
      <c r="A28" s="2" t="inlineStr">
        <is>
          <t>1C — Working Capital Components (USD M) — Trade items only</t>
        </is>
      </c>
    </row>
    <row r="29">
      <c r="A29" s="3" t="inlineStr">
        <is>
          <t>Company</t>
        </is>
      </c>
      <c r="B29" s="3" t="inlineStr">
        <is>
          <t>AR CY (net)</t>
        </is>
      </c>
      <c r="C29" s="3" t="inlineStr">
        <is>
          <t>AR PY (net)</t>
        </is>
      </c>
      <c r="D29" s="3" t="inlineStr">
        <is>
          <t>Inventory CY</t>
        </is>
      </c>
      <c r="E29" s="3" t="inlineStr">
        <is>
          <t>Inventory PY</t>
        </is>
      </c>
      <c r="F29" s="3" t="inlineStr">
        <is>
          <t>AP CY</t>
        </is>
      </c>
      <c r="G29" s="3" t="inlineStr">
        <is>
          <t>AP PY</t>
        </is>
      </c>
    </row>
    <row r="30">
      <c r="A30" s="4" t="inlineStr">
        <is>
          <t>NVIDIA</t>
        </is>
      </c>
      <c r="B30" s="4" t="n">
        <v>17254</v>
      </c>
      <c r="C30" s="4" t="n">
        <v>9999</v>
      </c>
      <c r="D30" s="4" t="n">
        <v>5965</v>
      </c>
      <c r="E30" s="4" t="n">
        <v>5282</v>
      </c>
      <c r="F30" s="4" t="n">
        <v>2667</v>
      </c>
      <c r="G30" s="4" t="n">
        <v>1429</v>
      </c>
    </row>
    <row r="31">
      <c r="A31" s="5" t="inlineStr">
        <is>
          <t>AMD</t>
        </is>
      </c>
      <c r="B31" s="5" t="n">
        <v>4427</v>
      </c>
      <c r="C31" s="5" t="n">
        <v>4133</v>
      </c>
      <c r="D31" s="5" t="n">
        <v>1969</v>
      </c>
      <c r="E31" s="5" t="n">
        <v>2008</v>
      </c>
      <c r="F31" s="5" t="n">
        <v>1518</v>
      </c>
      <c r="G31" s="5" t="n">
        <v>1389</v>
      </c>
    </row>
    <row r="32">
      <c r="A32" s="4" t="inlineStr">
        <is>
          <t>Intel</t>
        </is>
      </c>
      <c r="B32" s="4" t="n">
        <v>5021</v>
      </c>
      <c r="C32" s="4" t="n">
        <v>5308</v>
      </c>
      <c r="D32" s="4" t="n">
        <v>11774</v>
      </c>
      <c r="E32" s="4" t="n">
        <v>11296</v>
      </c>
      <c r="F32" s="4" t="n">
        <v>3968</v>
      </c>
      <c r="G32" s="4" t="n">
        <v>4067</v>
      </c>
    </row>
    <row r="33">
      <c r="A33" s="5" t="inlineStr">
        <is>
          <t>TXN</t>
        </is>
      </c>
      <c r="B33" s="5" t="n">
        <v>1741</v>
      </c>
      <c r="C33" s="5" t="n">
        <v>1921</v>
      </c>
      <c r="D33" s="5" t="n">
        <v>4081</v>
      </c>
      <c r="E33" s="5" t="n">
        <v>3547</v>
      </c>
      <c r="F33" s="5" t="n">
        <v>376</v>
      </c>
      <c r="G33" s="5" t="n">
        <v>404</v>
      </c>
    </row>
    <row r="34">
      <c r="A34" s="4" t="inlineStr">
        <is>
          <t>Qualcomm</t>
        </is>
      </c>
      <c r="B34" s="4" t="n">
        <v>6400</v>
      </c>
      <c r="C34" s="4" t="n">
        <v>5614</v>
      </c>
      <c r="D34" s="4" t="n">
        <v>2327</v>
      </c>
      <c r="E34" s="4" t="n">
        <v>2555</v>
      </c>
      <c r="F34" s="4" t="n">
        <v>4213</v>
      </c>
      <c r="G34" s="4" t="n">
        <v>3742</v>
      </c>
    </row>
    <row r="35">
      <c r="A35" s="5" t="inlineStr">
        <is>
          <t>NXP</t>
        </is>
      </c>
      <c r="B35" s="5" t="n">
        <v>1597</v>
      </c>
      <c r="C35" s="5" t="n">
        <v>1741</v>
      </c>
      <c r="D35" s="5" t="n">
        <v>1736</v>
      </c>
      <c r="E35" s="5" t="n">
        <v>1906</v>
      </c>
      <c r="F35" s="5" t="n">
        <v>980</v>
      </c>
      <c r="G35" s="5" t="n">
        <v>1100</v>
      </c>
    </row>
    <row r="36">
      <c r="A36" s="4" t="inlineStr">
        <is>
          <t>TSMC</t>
        </is>
      </c>
      <c r="B36" s="4" t="n">
        <v>10938</v>
      </c>
      <c r="C36" s="4" t="n">
        <v>8691</v>
      </c>
      <c r="D36" s="4" t="n">
        <v>14063</v>
      </c>
      <c r="E36" s="4" t="n">
        <v>12734</v>
      </c>
      <c r="F36" s="4" t="n">
        <v>5625</v>
      </c>
      <c r="G36" s="4" t="n">
        <v>5096</v>
      </c>
    </row>
    <row r="37">
      <c r="A37" s="5" t="inlineStr">
        <is>
          <t>Micron</t>
        </is>
      </c>
      <c r="B37" s="5" t="n">
        <v>3302</v>
      </c>
      <c r="C37" s="5" t="n">
        <v>2757</v>
      </c>
      <c r="D37" s="5" t="n">
        <v>8622</v>
      </c>
      <c r="E37" s="5" t="n">
        <v>8094</v>
      </c>
      <c r="F37" s="5" t="n">
        <v>2232</v>
      </c>
      <c r="G37" s="5" t="n">
        <v>1682</v>
      </c>
    </row>
    <row r="38">
      <c r="A38" s="4" t="inlineStr">
        <is>
          <t>STM</t>
        </is>
      </c>
      <c r="B38" s="4" t="n">
        <v>2014</v>
      </c>
      <c r="C38" s="4" t="n">
        <v>2600</v>
      </c>
      <c r="D38" s="4" t="n">
        <v>2737</v>
      </c>
      <c r="E38" s="4" t="n">
        <v>3068</v>
      </c>
      <c r="F38" s="4" t="n">
        <v>1300</v>
      </c>
      <c r="G38" s="4" t="n">
        <v>1523</v>
      </c>
    </row>
    <row r="39">
      <c r="A39" s="5" t="inlineStr">
        <is>
          <t>Infineon</t>
        </is>
      </c>
      <c r="B39" s="5" t="n">
        <v>1554</v>
      </c>
      <c r="C39" s="5" t="n">
        <v>1709</v>
      </c>
      <c r="D39" s="5" t="n">
        <v>3279</v>
      </c>
      <c r="E39" s="5" t="n">
        <v>3297</v>
      </c>
      <c r="F39" s="5" t="n">
        <v>966</v>
      </c>
      <c r="G39" s="5" t="n">
        <v>1036</v>
      </c>
    </row>
    <row r="40">
      <c r="A40" s="2" t="inlineStr">
        <is>
          <t>1D — Balance Sheet Summary &amp; OCF (USD M)  [A] = Approximated</t>
        </is>
      </c>
    </row>
    <row r="41">
      <c r="A41" s="3" t="inlineStr">
        <is>
          <t>Company</t>
        </is>
      </c>
      <c r="B41" s="3" t="inlineStr">
        <is>
          <t>Total CA [A]</t>
        </is>
      </c>
      <c r="C41" s="3" t="inlineStr">
        <is>
          <t>Cash+ST Inv [A]</t>
        </is>
      </c>
      <c r="D41" s="3" t="inlineStr">
        <is>
          <t>Other CA [A]</t>
        </is>
      </c>
      <c r="E41" s="3" t="inlineStr">
        <is>
          <t>Total CL [A]</t>
        </is>
      </c>
      <c r="F41" s="3" t="inlineStr">
        <is>
          <t>AP</t>
        </is>
      </c>
      <c r="G41" s="3" t="inlineStr">
        <is>
          <t>ST Debt [A]</t>
        </is>
      </c>
      <c r="H41" s="3" t="inlineStr">
        <is>
          <t>Other CL [A]</t>
        </is>
      </c>
      <c r="I41" s="3" t="inlineStr">
        <is>
          <t>OCF</t>
        </is>
      </c>
    </row>
    <row r="42">
      <c r="A42" s="4" t="inlineStr">
        <is>
          <t>NVIDIA</t>
        </is>
      </c>
      <c r="B42" s="4" t="n">
        <v>52876</v>
      </c>
      <c r="C42" s="4" t="n">
        <v>15063</v>
      </c>
      <c r="D42" s="4" t="n">
        <v>14594</v>
      </c>
      <c r="E42" s="4" t="n">
        <v>18975</v>
      </c>
      <c r="F42" s="4" t="n">
        <v>2667</v>
      </c>
      <c r="G42" s="4" t="n">
        <v>1250</v>
      </c>
      <c r="H42" s="4" t="n">
        <v>15058</v>
      </c>
      <c r="I42" s="4" t="n">
        <v>64089</v>
      </c>
    </row>
    <row r="43">
      <c r="A43" s="5" t="inlineStr">
        <is>
          <t>AMD</t>
        </is>
      </c>
      <c r="B43" s="5" t="n">
        <v>13000</v>
      </c>
      <c r="C43" s="5" t="n">
        <v>5400</v>
      </c>
      <c r="D43" s="5" t="n">
        <v>1204</v>
      </c>
      <c r="E43" s="5" t="n">
        <v>4750</v>
      </c>
      <c r="F43" s="5" t="n">
        <v>1518</v>
      </c>
      <c r="G43" s="5" t="n">
        <v>0</v>
      </c>
      <c r="H43" s="5" t="n">
        <v>3232</v>
      </c>
      <c r="I43" s="5" t="n">
        <v>2696</v>
      </c>
    </row>
    <row r="44">
      <c r="A44" s="4" t="inlineStr">
        <is>
          <t>Intel</t>
        </is>
      </c>
      <c r="B44" s="4" t="n">
        <v>28400</v>
      </c>
      <c r="C44" s="4" t="n">
        <v>8400</v>
      </c>
      <c r="D44" s="4" t="n">
        <v>3205</v>
      </c>
      <c r="E44" s="4" t="n">
        <v>21293</v>
      </c>
      <c r="F44" s="4" t="n">
        <v>3968</v>
      </c>
      <c r="G44" s="4" t="n">
        <v>2500</v>
      </c>
      <c r="H44" s="4" t="n">
        <v>14825</v>
      </c>
      <c r="I44" s="4" t="n">
        <v>8293</v>
      </c>
    </row>
    <row r="45">
      <c r="A45" s="5" t="inlineStr">
        <is>
          <t>TXN</t>
        </is>
      </c>
      <c r="B45" s="5" t="n">
        <v>9026</v>
      </c>
      <c r="C45" s="5" t="n">
        <v>4634</v>
      </c>
      <c r="D45" s="5" t="n">
        <v>570</v>
      </c>
      <c r="E45" s="5" t="n">
        <v>3543</v>
      </c>
      <c r="F45" s="5" t="n">
        <v>376</v>
      </c>
      <c r="G45" s="5" t="n">
        <v>1500</v>
      </c>
      <c r="H45" s="5" t="n">
        <v>1667</v>
      </c>
      <c r="I45" s="5" t="n">
        <v>6282</v>
      </c>
    </row>
    <row r="46">
      <c r="A46" s="4" t="inlineStr">
        <is>
          <t>Qualcomm</t>
        </is>
      </c>
      <c r="B46" s="4" t="n">
        <v>19428</v>
      </c>
      <c r="C46" s="4" t="n">
        <v>7740</v>
      </c>
      <c r="D46" s="4" t="n">
        <v>2961</v>
      </c>
      <c r="E46" s="4" t="n">
        <v>10068</v>
      </c>
      <c r="F46" s="4" t="n">
        <v>4213</v>
      </c>
      <c r="G46" s="4" t="n">
        <v>1500</v>
      </c>
      <c r="H46" s="4" t="n">
        <v>4355</v>
      </c>
      <c r="I46" s="4" t="n">
        <v>10929</v>
      </c>
    </row>
    <row r="47">
      <c r="A47" s="5" t="inlineStr">
        <is>
          <t>NXP</t>
        </is>
      </c>
      <c r="B47" s="5" t="n">
        <v>6500</v>
      </c>
      <c r="C47" s="5" t="n">
        <v>2500</v>
      </c>
      <c r="D47" s="5" t="n">
        <v>667</v>
      </c>
      <c r="E47" s="5" t="n">
        <v>4195</v>
      </c>
      <c r="F47" s="5" t="n">
        <v>980</v>
      </c>
      <c r="G47" s="5" t="n">
        <v>1000</v>
      </c>
      <c r="H47" s="5" t="n">
        <v>2215</v>
      </c>
      <c r="I47" s="5" t="n">
        <v>2813</v>
      </c>
    </row>
    <row r="48">
      <c r="A48" s="4" t="inlineStr">
        <is>
          <t>TSMC</t>
        </is>
      </c>
      <c r="B48" s="4" t="n">
        <v>69001</v>
      </c>
      <c r="C48" s="4" t="n">
        <v>40000</v>
      </c>
      <c r="D48" s="4" t="n">
        <v>4000</v>
      </c>
      <c r="E48" s="4" t="n">
        <v>25000</v>
      </c>
      <c r="F48" s="4" t="n">
        <v>5625</v>
      </c>
      <c r="G48" s="4" t="n">
        <v>3000</v>
      </c>
      <c r="H48" s="4" t="n">
        <v>16375</v>
      </c>
      <c r="I48" s="4" t="n">
        <v>56250</v>
      </c>
    </row>
    <row r="49">
      <c r="A49" s="5" t="inlineStr">
        <is>
          <t>Micron</t>
        </is>
      </c>
      <c r="B49" s="5" t="n">
        <v>16787</v>
      </c>
      <c r="C49" s="5" t="n">
        <v>8285</v>
      </c>
      <c r="D49" s="5" t="n">
        <v>578</v>
      </c>
      <c r="E49" s="5" t="n">
        <v>6671</v>
      </c>
      <c r="F49" s="5" t="n">
        <v>2232</v>
      </c>
      <c r="G49" s="5" t="n">
        <v>0</v>
      </c>
      <c r="H49" s="5" t="n">
        <v>4439</v>
      </c>
      <c r="I49" s="5" t="n">
        <v>8507</v>
      </c>
    </row>
    <row r="50">
      <c r="A50" s="4" t="inlineStr">
        <is>
          <t>STM</t>
        </is>
      </c>
      <c r="B50" s="4" t="n">
        <v>9147</v>
      </c>
      <c r="C50" s="4" t="n">
        <v>3834</v>
      </c>
      <c r="D50" s="4" t="n">
        <v>562</v>
      </c>
      <c r="E50" s="4" t="n">
        <v>4302</v>
      </c>
      <c r="F50" s="4" t="n">
        <v>1300</v>
      </c>
      <c r="G50" s="4" t="n">
        <v>850</v>
      </c>
      <c r="H50" s="4" t="n">
        <v>2152</v>
      </c>
      <c r="I50" s="4" t="n">
        <v>2390</v>
      </c>
    </row>
    <row r="51">
      <c r="A51" s="5" t="inlineStr">
        <is>
          <t>Infineon</t>
        </is>
      </c>
      <c r="B51" s="5" t="n">
        <v>8000</v>
      </c>
      <c r="C51" s="5" t="n">
        <v>2713</v>
      </c>
      <c r="D51" s="5" t="n">
        <v>454</v>
      </c>
      <c r="E51" s="5" t="n">
        <v>4600</v>
      </c>
      <c r="F51" s="5" t="n">
        <v>966</v>
      </c>
      <c r="G51" s="5" t="n">
        <v>651</v>
      </c>
      <c r="H51" s="5" t="n">
        <v>2983</v>
      </c>
      <c r="I51" s="5" t="n">
        <v>2361</v>
      </c>
    </row>
  </sheetData>
  <mergeCells count="5">
    <mergeCell ref="A1:T1"/>
    <mergeCell ref="A15:I15"/>
    <mergeCell ref="A2:H2"/>
    <mergeCell ref="A40:I40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0" customWidth="1" min="4" max="4"/>
    <col width="10" customWidth="1" min="5" max="5"/>
    <col width="13" customWidth="1" min="6" max="6"/>
    <col width="16" customWidth="1" min="7" max="7"/>
    <col width="19" customWidth="1" min="8" max="8"/>
    <col width="15" customWidth="1" min="9" max="9"/>
    <col width="17" customWidth="1" min="10" max="10"/>
    <col width="18" customWidth="1" min="11" max="11"/>
  </cols>
  <sheetData>
    <row r="1">
      <c r="A1" s="1" t="inlineStr">
        <is>
          <t>STEP 2 — AVERAGE BALANCE CALCULATIONS  (USD M)</t>
        </is>
      </c>
    </row>
    <row r="2">
      <c r="A2" s="3" t="inlineStr">
        <is>
          <t>Company</t>
        </is>
      </c>
      <c r="B2" s="3" t="inlineStr">
        <is>
          <t>Avg AR</t>
        </is>
      </c>
      <c r="C2" s="3" t="inlineStr">
        <is>
          <t>Avg Inventory</t>
        </is>
      </c>
      <c r="D2" s="3" t="inlineStr">
        <is>
          <t>Avg AP</t>
        </is>
      </c>
      <c r="E2" s="3" t="inlineStr">
        <is>
          <t>Avg COGS</t>
        </is>
      </c>
      <c r="F2" s="3" t="inlineStr">
        <is>
          <t>Avg Revenue</t>
        </is>
      </c>
      <c r="G2" s="3" t="inlineStr">
        <is>
          <t>Formula AR</t>
        </is>
      </c>
      <c r="H2" s="3" t="inlineStr">
        <is>
          <t>Formula Inventory</t>
        </is>
      </c>
      <c r="I2" s="3" t="inlineStr">
        <is>
          <t>Formula AP</t>
        </is>
      </c>
      <c r="J2" s="3" t="inlineStr">
        <is>
          <t>Formula COGS</t>
        </is>
      </c>
      <c r="K2" s="3" t="inlineStr">
        <is>
          <t>Formula Revenue</t>
        </is>
      </c>
    </row>
    <row r="3">
      <c r="A3" s="4" t="inlineStr">
        <is>
          <t>NVIDIA</t>
        </is>
      </c>
      <c r="B3" s="4">
        <f>('1 Raw Data'!B30+'1 Raw Data'!C30)/2</f>
        <v/>
      </c>
      <c r="C3" s="4">
        <f>('1 Raw Data'!D30+'1 Raw Data'!E30)/2</f>
        <v/>
      </c>
      <c r="D3" s="4">
        <f>('1 Raw Data'!F30+'1 Raw Data'!G30)/2</f>
        <v/>
      </c>
      <c r="E3" s="4">
        <f>('1 Raw Data'!D17+'1 Raw Data'!E17)/2</f>
        <v/>
      </c>
      <c r="F3" s="4">
        <f>('1 Raw Data'!B17+'1 Raw Data'!C17)/2</f>
        <v/>
      </c>
      <c r="G3" s="4">
        <f>FORMULATEXT(B3)</f>
        <v/>
      </c>
      <c r="H3" s="4">
        <f>FORMULATEXT(C3)</f>
        <v/>
      </c>
      <c r="I3" s="4">
        <f>FORMULATEXT(D3)</f>
        <v/>
      </c>
      <c r="J3" s="4">
        <f>FORMULATEXT(E3)</f>
        <v/>
      </c>
      <c r="K3" s="4">
        <f>FORMULATEXT(F3)</f>
        <v/>
      </c>
    </row>
    <row r="4">
      <c r="A4" s="5" t="inlineStr">
        <is>
          <t>AMD</t>
        </is>
      </c>
      <c r="B4" s="5">
        <f>('1 Raw Data'!B31+'1 Raw Data'!C31)/2</f>
        <v/>
      </c>
      <c r="C4" s="5">
        <f>('1 Raw Data'!D31+'1 Raw Data'!E31)/2</f>
        <v/>
      </c>
      <c r="D4" s="5">
        <f>('1 Raw Data'!F31+'1 Raw Data'!G31)/2</f>
        <v/>
      </c>
      <c r="E4" s="5">
        <f>('1 Raw Data'!D18+'1 Raw Data'!E18)/2</f>
        <v/>
      </c>
      <c r="F4" s="5">
        <f>('1 Raw Data'!B18+'1 Raw Data'!C18)/2</f>
        <v/>
      </c>
      <c r="G4" s="5">
        <f>FORMULATEXT(B4)</f>
        <v/>
      </c>
      <c r="H4" s="5">
        <f>FORMULATEXT(C4)</f>
        <v/>
      </c>
      <c r="I4" s="5">
        <f>FORMULATEXT(D4)</f>
        <v/>
      </c>
      <c r="J4" s="5">
        <f>FORMULATEXT(E4)</f>
        <v/>
      </c>
      <c r="K4" s="5">
        <f>FORMULATEXT(F4)</f>
        <v/>
      </c>
    </row>
    <row r="5">
      <c r="A5" s="4" t="inlineStr">
        <is>
          <t>Intel</t>
        </is>
      </c>
      <c r="B5" s="4">
        <f>('1 Raw Data'!B32+'1 Raw Data'!C32)/2</f>
        <v/>
      </c>
      <c r="C5" s="4">
        <f>('1 Raw Data'!D32+'1 Raw Data'!E32)/2</f>
        <v/>
      </c>
      <c r="D5" s="4">
        <f>('1 Raw Data'!F32+'1 Raw Data'!G32)/2</f>
        <v/>
      </c>
      <c r="E5" s="4">
        <f>('1 Raw Data'!D19+'1 Raw Data'!E19)/2</f>
        <v/>
      </c>
      <c r="F5" s="4">
        <f>('1 Raw Data'!B19+'1 Raw Data'!C19)/2</f>
        <v/>
      </c>
      <c r="G5" s="4">
        <f>FORMULATEXT(B5)</f>
        <v/>
      </c>
      <c r="H5" s="4">
        <f>FORMULATEXT(C5)</f>
        <v/>
      </c>
      <c r="I5" s="4">
        <f>FORMULATEXT(D5)</f>
        <v/>
      </c>
      <c r="J5" s="4">
        <f>FORMULATEXT(E5)</f>
        <v/>
      </c>
      <c r="K5" s="4">
        <f>FORMULATEXT(F5)</f>
        <v/>
      </c>
    </row>
    <row r="6">
      <c r="A6" s="5" t="inlineStr">
        <is>
          <t>TXN</t>
        </is>
      </c>
      <c r="B6" s="5">
        <f>('1 Raw Data'!B33+'1 Raw Data'!C33)/2</f>
        <v/>
      </c>
      <c r="C6" s="5">
        <f>('1 Raw Data'!D33+'1 Raw Data'!E33)/2</f>
        <v/>
      </c>
      <c r="D6" s="5">
        <f>('1 Raw Data'!F33+'1 Raw Data'!G33)/2</f>
        <v/>
      </c>
      <c r="E6" s="5">
        <f>('1 Raw Data'!D20+'1 Raw Data'!E20)/2</f>
        <v/>
      </c>
      <c r="F6" s="5">
        <f>('1 Raw Data'!B20+'1 Raw Data'!C20)/2</f>
        <v/>
      </c>
      <c r="G6" s="5">
        <f>FORMULATEXT(B6)</f>
        <v/>
      </c>
      <c r="H6" s="5">
        <f>FORMULATEXT(C6)</f>
        <v/>
      </c>
      <c r="I6" s="5">
        <f>FORMULATEXT(D6)</f>
        <v/>
      </c>
      <c r="J6" s="5">
        <f>FORMULATEXT(E6)</f>
        <v/>
      </c>
      <c r="K6" s="5">
        <f>FORMULATEXT(F6)</f>
        <v/>
      </c>
    </row>
    <row r="7">
      <c r="A7" s="4" t="inlineStr">
        <is>
          <t>Qualcomm</t>
        </is>
      </c>
      <c r="B7" s="4">
        <f>('1 Raw Data'!B34+'1 Raw Data'!C34)/2</f>
        <v/>
      </c>
      <c r="C7" s="4">
        <f>('1 Raw Data'!D34+'1 Raw Data'!E34)/2</f>
        <v/>
      </c>
      <c r="D7" s="4">
        <f>('1 Raw Data'!F34+'1 Raw Data'!G34)/2</f>
        <v/>
      </c>
      <c r="E7" s="4">
        <f>('1 Raw Data'!D21+'1 Raw Data'!E21)/2</f>
        <v/>
      </c>
      <c r="F7" s="4">
        <f>('1 Raw Data'!B21+'1 Raw Data'!C21)/2</f>
        <v/>
      </c>
      <c r="G7" s="4">
        <f>FORMULATEXT(B7)</f>
        <v/>
      </c>
      <c r="H7" s="4">
        <f>FORMULATEXT(C7)</f>
        <v/>
      </c>
      <c r="I7" s="4">
        <f>FORMULATEXT(D7)</f>
        <v/>
      </c>
      <c r="J7" s="4">
        <f>FORMULATEXT(E7)</f>
        <v/>
      </c>
      <c r="K7" s="4">
        <f>FORMULATEXT(F7)</f>
        <v/>
      </c>
    </row>
    <row r="8">
      <c r="A8" s="5" t="inlineStr">
        <is>
          <t>NXP</t>
        </is>
      </c>
      <c r="B8" s="5">
        <f>('1 Raw Data'!B35+'1 Raw Data'!C35)/2</f>
        <v/>
      </c>
      <c r="C8" s="5">
        <f>('1 Raw Data'!D35+'1 Raw Data'!E35)/2</f>
        <v/>
      </c>
      <c r="D8" s="5">
        <f>('1 Raw Data'!F35+'1 Raw Data'!G35)/2</f>
        <v/>
      </c>
      <c r="E8" s="5">
        <f>('1 Raw Data'!D22+'1 Raw Data'!E22)/2</f>
        <v/>
      </c>
      <c r="F8" s="5">
        <f>('1 Raw Data'!B22+'1 Raw Data'!C22)/2</f>
        <v/>
      </c>
      <c r="G8" s="5">
        <f>FORMULATEXT(B8)</f>
        <v/>
      </c>
      <c r="H8" s="5">
        <f>FORMULATEXT(C8)</f>
        <v/>
      </c>
      <c r="I8" s="5">
        <f>FORMULATEXT(D8)</f>
        <v/>
      </c>
      <c r="J8" s="5">
        <f>FORMULATEXT(E8)</f>
        <v/>
      </c>
      <c r="K8" s="5">
        <f>FORMULATEXT(F8)</f>
        <v/>
      </c>
    </row>
    <row r="9">
      <c r="A9" s="4" t="inlineStr">
        <is>
          <t>TSMC</t>
        </is>
      </c>
      <c r="B9" s="4">
        <f>('1 Raw Data'!B36+'1 Raw Data'!C36)/2</f>
        <v/>
      </c>
      <c r="C9" s="4">
        <f>('1 Raw Data'!D36+'1 Raw Data'!E36)/2</f>
        <v/>
      </c>
      <c r="D9" s="4">
        <f>('1 Raw Data'!F36+'1 Raw Data'!G36)/2</f>
        <v/>
      </c>
      <c r="E9" s="4">
        <f>('1 Raw Data'!D23+'1 Raw Data'!E23)/2</f>
        <v/>
      </c>
      <c r="F9" s="4">
        <f>('1 Raw Data'!B23+'1 Raw Data'!C23)/2</f>
        <v/>
      </c>
      <c r="G9" s="4">
        <f>FORMULATEXT(B9)</f>
        <v/>
      </c>
      <c r="H9" s="4">
        <f>FORMULATEXT(C9)</f>
        <v/>
      </c>
      <c r="I9" s="4">
        <f>FORMULATEXT(D9)</f>
        <v/>
      </c>
      <c r="J9" s="4">
        <f>FORMULATEXT(E9)</f>
        <v/>
      </c>
      <c r="K9" s="4">
        <f>FORMULATEXT(F9)</f>
        <v/>
      </c>
    </row>
    <row r="10">
      <c r="A10" s="5" t="inlineStr">
        <is>
          <t>Micron</t>
        </is>
      </c>
      <c r="B10" s="5">
        <f>('1 Raw Data'!B37+'1 Raw Data'!C37)/2</f>
        <v/>
      </c>
      <c r="C10" s="5">
        <f>('1 Raw Data'!D37+'1 Raw Data'!E37)/2</f>
        <v/>
      </c>
      <c r="D10" s="5">
        <f>('1 Raw Data'!F37+'1 Raw Data'!G37)/2</f>
        <v/>
      </c>
      <c r="E10" s="5">
        <f>('1 Raw Data'!D24+'1 Raw Data'!E24)/2</f>
        <v/>
      </c>
      <c r="F10" s="5">
        <f>('1 Raw Data'!B24+'1 Raw Data'!C24)/2</f>
        <v/>
      </c>
      <c r="G10" s="5">
        <f>FORMULATEXT(B10)</f>
        <v/>
      </c>
      <c r="H10" s="5">
        <f>FORMULATEXT(C10)</f>
        <v/>
      </c>
      <c r="I10" s="5">
        <f>FORMULATEXT(D10)</f>
        <v/>
      </c>
      <c r="J10" s="5">
        <f>FORMULATEXT(E10)</f>
        <v/>
      </c>
      <c r="K10" s="5">
        <f>FORMULATEXT(F10)</f>
        <v/>
      </c>
    </row>
    <row r="11">
      <c r="A11" s="4" t="inlineStr">
        <is>
          <t>STM</t>
        </is>
      </c>
      <c r="B11" s="4">
        <f>('1 Raw Data'!B38+'1 Raw Data'!C38)/2</f>
        <v/>
      </c>
      <c r="C11" s="4">
        <f>('1 Raw Data'!D38+'1 Raw Data'!E38)/2</f>
        <v/>
      </c>
      <c r="D11" s="4">
        <f>('1 Raw Data'!F38+'1 Raw Data'!G38)/2</f>
        <v/>
      </c>
      <c r="E11" s="4">
        <f>('1 Raw Data'!D25+'1 Raw Data'!E25)/2</f>
        <v/>
      </c>
      <c r="F11" s="4">
        <f>('1 Raw Data'!B25+'1 Raw Data'!C25)/2</f>
        <v/>
      </c>
      <c r="G11" s="4">
        <f>FORMULATEXT(B11)</f>
        <v/>
      </c>
      <c r="H11" s="4">
        <f>FORMULATEXT(C11)</f>
        <v/>
      </c>
      <c r="I11" s="4">
        <f>FORMULATEXT(D11)</f>
        <v/>
      </c>
      <c r="J11" s="4">
        <f>FORMULATEXT(E11)</f>
        <v/>
      </c>
      <c r="K11" s="4">
        <f>FORMULATEXT(F11)</f>
        <v/>
      </c>
    </row>
    <row r="12">
      <c r="A12" s="5" t="inlineStr">
        <is>
          <t>Infineon</t>
        </is>
      </c>
      <c r="B12" s="5">
        <f>('1 Raw Data'!B39+'1 Raw Data'!C39)/2</f>
        <v/>
      </c>
      <c r="C12" s="5">
        <f>('1 Raw Data'!D39+'1 Raw Data'!E39)/2</f>
        <v/>
      </c>
      <c r="D12" s="5">
        <f>('1 Raw Data'!F39+'1 Raw Data'!G39)/2</f>
        <v/>
      </c>
      <c r="E12" s="5">
        <f>('1 Raw Data'!D26+'1 Raw Data'!E26)/2</f>
        <v/>
      </c>
      <c r="F12" s="5">
        <f>('1 Raw Data'!B26+'1 Raw Data'!C26)/2</f>
        <v/>
      </c>
      <c r="G12" s="5">
        <f>FORMULATEXT(B12)</f>
        <v/>
      </c>
      <c r="H12" s="5">
        <f>FORMULATEXT(C12)</f>
        <v/>
      </c>
      <c r="I12" s="5">
        <f>FORMULATEXT(D12)</f>
        <v/>
      </c>
      <c r="J12" s="5">
        <f>FORMULATEXT(E12)</f>
        <v/>
      </c>
      <c r="K12" s="5">
        <f>FORMULATEXT(F12)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7" customWidth="1" min="4" max="4"/>
    <col width="10" customWidth="1" min="5" max="5"/>
    <col width="14" customWidth="1" min="6" max="6"/>
    <col width="15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29" customWidth="1" min="14" max="14"/>
    <col width="10" customWidth="1" min="15" max="15"/>
  </cols>
  <sheetData>
    <row r="1">
      <c r="A1" s="1" t="inlineStr">
        <is>
          <t>STEP 3 — METRIC CALCULATIONS  (all ratios rounded to 2 dp)</t>
        </is>
      </c>
    </row>
    <row r="2">
      <c r="A2" s="3" t="inlineStr">
        <is>
          <t>Company</t>
        </is>
      </c>
      <c r="B2" s="3" t="inlineStr">
        <is>
          <t>WC (USD M)</t>
        </is>
      </c>
      <c r="C2" s="3" t="inlineStr">
        <is>
          <t>BS NWC (USD M)</t>
        </is>
      </c>
      <c r="D2" s="3" t="inlineStr">
        <is>
          <t>Op. NWC (USD M)</t>
        </is>
      </c>
      <c r="E2" s="3" t="inlineStr">
        <is>
          <t>NWC% (%)</t>
        </is>
      </c>
      <c r="F2" s="3" t="inlineStr">
        <is>
          <t>WC Intensity</t>
        </is>
      </c>
      <c r="G2" s="3" t="inlineStr">
        <is>
          <t>Current Ratio</t>
        </is>
      </c>
      <c r="H2" s="3" t="inlineStr">
        <is>
          <t>DSO (days)</t>
        </is>
      </c>
      <c r="I2" s="3" t="inlineStr">
        <is>
          <t>AR Turns (×)</t>
        </is>
      </c>
      <c r="J2" s="3" t="inlineStr">
        <is>
          <t>DIO (days)</t>
        </is>
      </c>
      <c r="K2" s="3" t="inlineStr">
        <is>
          <t>DPO (days)</t>
        </is>
      </c>
      <c r="L2" s="3" t="inlineStr">
        <is>
          <t>CCC (days)</t>
        </is>
      </c>
      <c r="M2" s="3" t="inlineStr">
        <is>
          <t>CRR (%)</t>
        </is>
      </c>
      <c r="N2" s="3" t="inlineStr">
        <is>
          <t>Note</t>
        </is>
      </c>
    </row>
    <row r="3">
      <c r="A3" s="4" t="inlineStr">
        <is>
          <t>NVIDIA</t>
        </is>
      </c>
      <c r="B3" s="4">
        <f>'1 Raw Data'!B42-'1 Raw Data'!E42</f>
        <v/>
      </c>
      <c r="C3" s="4">
        <f>'1 Raw Data'!B42-'1 Raw Data'!C42-'1 Raw Data'!E42+'1 Raw Data'!G42</f>
        <v/>
      </c>
      <c r="D3" s="4">
        <f>'2 Average Balances'!B3+'2 Average Balances'!C3-'2 Average Balances'!D3</f>
        <v/>
      </c>
      <c r="E3" s="4">
        <f>D3/('1 Raw Data'!B17)*100</f>
        <v/>
      </c>
      <c r="F3" s="4">
        <f>B3/('1 Raw Data'!B17)</f>
        <v/>
      </c>
      <c r="G3" s="4">
        <f>'1 Raw Data'!B42/'1 Raw Data'!E42</f>
        <v/>
      </c>
      <c r="H3" s="4">
        <f>'2 Average Balances'!B3/('1 Raw Data'!B17/365)</f>
        <v/>
      </c>
      <c r="I3" s="4">
        <f>'1 Raw Data'!B17/'2 Average Balances'!B3</f>
        <v/>
      </c>
      <c r="J3" s="4">
        <f>'2 Average Balances'!C3/('2 Average Balances'!E3/365)</f>
        <v/>
      </c>
      <c r="K3" s="4">
        <f>'2 Average Balances'!D3/('2 Average Balances'!E3/365)</f>
        <v/>
      </c>
      <c r="L3" s="4">
        <f>H3+J3-K3</f>
        <v/>
      </c>
      <c r="M3" s="4">
        <f>'1 Raw Data'!I42/('1 Raw Data'!B17)*100</f>
        <v/>
      </c>
      <c r="N3" s="4" t="inlineStr"/>
    </row>
    <row r="4">
      <c r="A4" s="5" t="inlineStr">
        <is>
          <t>AMD</t>
        </is>
      </c>
      <c r="B4" s="5">
        <f>'1 Raw Data'!B43-'1 Raw Data'!E43</f>
        <v/>
      </c>
      <c r="C4" s="5">
        <f>'1 Raw Data'!B43-'1 Raw Data'!C43-'1 Raw Data'!E43+'1 Raw Data'!G43</f>
        <v/>
      </c>
      <c r="D4" s="5">
        <f>'2 Average Balances'!B4+'2 Average Balances'!C4-'2 Average Balances'!D4</f>
        <v/>
      </c>
      <c r="E4" s="5">
        <f>D4/('1 Raw Data'!B18)*100</f>
        <v/>
      </c>
      <c r="F4" s="5">
        <f>B4/('1 Raw Data'!B18)</f>
        <v/>
      </c>
      <c r="G4" s="5">
        <f>'1 Raw Data'!B43/'1 Raw Data'!E43</f>
        <v/>
      </c>
      <c r="H4" s="5">
        <f>'2 Average Balances'!B4/('1 Raw Data'!B18/365)</f>
        <v/>
      </c>
      <c r="I4" s="5">
        <f>'1 Raw Data'!B18/'2 Average Balances'!B4</f>
        <v/>
      </c>
      <c r="J4" s="5">
        <f>'2 Average Balances'!C4/('2 Average Balances'!E4/365)</f>
        <v/>
      </c>
      <c r="K4" s="5">
        <f>'2 Average Balances'!D4/('2 Average Balances'!E4/365)</f>
        <v/>
      </c>
      <c r="L4" s="5">
        <f>H4+J4-K4</f>
        <v/>
      </c>
      <c r="M4" s="5">
        <f>'1 Raw Data'!I43/('1 Raw Data'!B18)*100</f>
        <v/>
      </c>
      <c r="N4" s="8" t="inlineStr"/>
    </row>
    <row r="5">
      <c r="A5" s="4" t="inlineStr">
        <is>
          <t>Intel</t>
        </is>
      </c>
      <c r="B5" s="4">
        <f>'1 Raw Data'!B44-'1 Raw Data'!E44</f>
        <v/>
      </c>
      <c r="C5" s="4">
        <f>'1 Raw Data'!B44-'1 Raw Data'!C44-'1 Raw Data'!E44+'1 Raw Data'!G44</f>
        <v/>
      </c>
      <c r="D5" s="4">
        <f>'2 Average Balances'!B5+'2 Average Balances'!C5-'2 Average Balances'!D5</f>
        <v/>
      </c>
      <c r="E5" s="4">
        <f>D5/('1 Raw Data'!B19)*100</f>
        <v/>
      </c>
      <c r="F5" s="4">
        <f>B5/('1 Raw Data'!B19)</f>
        <v/>
      </c>
      <c r="G5" s="4">
        <f>'1 Raw Data'!B44/'1 Raw Data'!E44</f>
        <v/>
      </c>
      <c r="H5" s="4">
        <f>'2 Average Balances'!B5/('1 Raw Data'!B19/365)</f>
        <v/>
      </c>
      <c r="I5" s="9">
        <f>'1 Raw Data'!B19/'2 Average Balances'!B5</f>
        <v/>
      </c>
      <c r="J5" s="4">
        <f>'2 Average Balances'!C5/('2 Average Balances'!E5/365)</f>
        <v/>
      </c>
      <c r="K5" s="4">
        <f>'2 Average Balances'!D5/('2 Average Balances'!E5/365)</f>
        <v/>
      </c>
      <c r="L5" s="4">
        <f>H5+J5-K5</f>
        <v/>
      </c>
      <c r="M5" s="4">
        <f>'1 Raw Data'!I44/('1 Raw Data'!B19)*100</f>
        <v/>
      </c>
      <c r="N5" s="10" t="inlineStr">
        <is>
          <t>⚠ COGS incl. impairment</t>
        </is>
      </c>
    </row>
    <row r="6">
      <c r="A6" s="5" t="inlineStr">
        <is>
          <t>TXN</t>
        </is>
      </c>
      <c r="B6" s="5">
        <f>'1 Raw Data'!B45-'1 Raw Data'!E45</f>
        <v/>
      </c>
      <c r="C6" s="5">
        <f>'1 Raw Data'!B45-'1 Raw Data'!C45-'1 Raw Data'!E45+'1 Raw Data'!G45</f>
        <v/>
      </c>
      <c r="D6" s="5">
        <f>'2 Average Balances'!B6+'2 Average Balances'!C6-'2 Average Balances'!D6</f>
        <v/>
      </c>
      <c r="E6" s="5">
        <f>D6/('1 Raw Data'!B20)*100</f>
        <v/>
      </c>
      <c r="F6" s="5">
        <f>B6/('1 Raw Data'!B20)</f>
        <v/>
      </c>
      <c r="G6" s="5">
        <f>'1 Raw Data'!B45/'1 Raw Data'!E45</f>
        <v/>
      </c>
      <c r="H6" s="5">
        <f>'2 Average Balances'!B6/('1 Raw Data'!B20/365)</f>
        <v/>
      </c>
      <c r="I6" s="5">
        <f>'1 Raw Data'!B20/'2 Average Balances'!B6</f>
        <v/>
      </c>
      <c r="J6" s="8">
        <f>'2 Average Balances'!C6/('2 Average Balances'!E6/365)</f>
        <v/>
      </c>
      <c r="K6" s="5">
        <f>'2 Average Balances'!D6/('2 Average Balances'!E6/365)</f>
        <v/>
      </c>
      <c r="L6" s="5">
        <f>H6+J6-K6</f>
        <v/>
      </c>
      <c r="M6" s="5">
        <f>'1 Raw Data'!I45/('1 Raw Data'!B20)*100</f>
        <v/>
      </c>
      <c r="N6" s="11" t="inlineStr">
        <is>
          <t>⚠ Strategic inventory build</t>
        </is>
      </c>
    </row>
    <row r="7">
      <c r="A7" s="4" t="inlineStr">
        <is>
          <t>Qualcomm</t>
        </is>
      </c>
      <c r="B7" s="4">
        <f>'1 Raw Data'!B46-'1 Raw Data'!E46</f>
        <v/>
      </c>
      <c r="C7" s="4">
        <f>'1 Raw Data'!B46-'1 Raw Data'!C46-'1 Raw Data'!E46+'1 Raw Data'!G46</f>
        <v/>
      </c>
      <c r="D7" s="4">
        <f>'2 Average Balances'!B7+'2 Average Balances'!C7-'2 Average Balances'!D7</f>
        <v/>
      </c>
      <c r="E7" s="4">
        <f>D7/('1 Raw Data'!B21)*100</f>
        <v/>
      </c>
      <c r="F7" s="4">
        <f>B7/('1 Raw Data'!B21)</f>
        <v/>
      </c>
      <c r="G7" s="4">
        <f>'1 Raw Data'!B46/'1 Raw Data'!E46</f>
        <v/>
      </c>
      <c r="H7" s="9">
        <f>'2 Average Balances'!B7/('1 Raw Data'!B21/365)</f>
        <v/>
      </c>
      <c r="I7" s="4">
        <f>'1 Raw Data'!B21/'2 Average Balances'!B7</f>
        <v/>
      </c>
      <c r="J7" s="9">
        <f>'2 Average Balances'!C7/('2 Average Balances'!E7/365)</f>
        <v/>
      </c>
      <c r="K7" s="9">
        <f>'2 Average Balances'!D7/('2 Average Balances'!E7/365)</f>
        <v/>
      </c>
      <c r="L7" s="9">
        <f>H7+J7-K7</f>
        <v/>
      </c>
      <c r="M7" s="9">
        <f>'1 Raw Data'!I46/('1 Raw Data'!B21)*100</f>
        <v/>
      </c>
      <c r="N7" s="9" t="inlineStr"/>
    </row>
    <row r="8">
      <c r="A8" s="5" t="inlineStr">
        <is>
          <t>NXP</t>
        </is>
      </c>
      <c r="B8" s="5">
        <f>'1 Raw Data'!B47-'1 Raw Data'!E47</f>
        <v/>
      </c>
      <c r="C8" s="5">
        <f>'1 Raw Data'!B47-'1 Raw Data'!C47-'1 Raw Data'!E47+'1 Raw Data'!G47</f>
        <v/>
      </c>
      <c r="D8" s="5">
        <f>'2 Average Balances'!B8+'2 Average Balances'!C8-'2 Average Balances'!D8</f>
        <v/>
      </c>
      <c r="E8" s="5">
        <f>D8/('1 Raw Data'!B22)*100</f>
        <v/>
      </c>
      <c r="F8" s="5">
        <f>B8/('1 Raw Data'!B22)</f>
        <v/>
      </c>
      <c r="G8" s="5">
        <f>'1 Raw Data'!B47/'1 Raw Data'!E47</f>
        <v/>
      </c>
      <c r="H8" s="5">
        <f>'2 Average Balances'!B8/('1 Raw Data'!B22/365)</f>
        <v/>
      </c>
      <c r="I8" s="5">
        <f>'1 Raw Data'!B22/'2 Average Balances'!B8</f>
        <v/>
      </c>
      <c r="J8" s="5">
        <f>'2 Average Balances'!C8/('2 Average Balances'!E8/365)</f>
        <v/>
      </c>
      <c r="K8" s="5">
        <f>'2 Average Balances'!D8/('2 Average Balances'!E8/365)</f>
        <v/>
      </c>
      <c r="L8" s="5">
        <f>H8+J8-K8</f>
        <v/>
      </c>
      <c r="M8" s="5">
        <f>'1 Raw Data'!I47/('1 Raw Data'!B22)*100</f>
        <v/>
      </c>
      <c r="N8" s="5" t="inlineStr"/>
    </row>
    <row r="9">
      <c r="A9" s="4" t="inlineStr">
        <is>
          <t>TSMC</t>
        </is>
      </c>
      <c r="B9" s="4">
        <f>'1 Raw Data'!B48-'1 Raw Data'!E48</f>
        <v/>
      </c>
      <c r="C9" s="4">
        <f>'1 Raw Data'!B48-'1 Raw Data'!C48-'1 Raw Data'!E48+'1 Raw Data'!G48</f>
        <v/>
      </c>
      <c r="D9" s="4">
        <f>'2 Average Balances'!B9+'2 Average Balances'!C9-'2 Average Balances'!D9</f>
        <v/>
      </c>
      <c r="E9" s="4">
        <f>D9/('1 Raw Data'!B23)*100</f>
        <v/>
      </c>
      <c r="F9" s="4">
        <f>B9/('1 Raw Data'!B23)</f>
        <v/>
      </c>
      <c r="G9" s="4">
        <f>'1 Raw Data'!B48/'1 Raw Data'!E48</f>
        <v/>
      </c>
      <c r="H9" s="4">
        <f>'2 Average Balances'!B9/('1 Raw Data'!B23/365)</f>
        <v/>
      </c>
      <c r="I9" s="4">
        <f>'1 Raw Data'!B23/'2 Average Balances'!B9</f>
        <v/>
      </c>
      <c r="J9" s="4">
        <f>'2 Average Balances'!C9/('2 Average Balances'!E9/365)</f>
        <v/>
      </c>
      <c r="K9" s="4">
        <f>'2 Average Balances'!D9/('2 Average Balances'!E9/365)</f>
        <v/>
      </c>
      <c r="L9" s="4">
        <f>H9+J9-K9</f>
        <v/>
      </c>
      <c r="M9" s="4">
        <f>'1 Raw Data'!I48/('1 Raw Data'!B23)*100</f>
        <v/>
      </c>
      <c r="N9" s="10" t="inlineStr">
        <is>
          <t>[A] OCF estimated</t>
        </is>
      </c>
    </row>
    <row r="10">
      <c r="A10" s="5" t="inlineStr">
        <is>
          <t>Micron</t>
        </is>
      </c>
      <c r="B10" s="5">
        <f>'1 Raw Data'!B49-'1 Raw Data'!E49</f>
        <v/>
      </c>
      <c r="C10" s="5">
        <f>'1 Raw Data'!B49-'1 Raw Data'!C49-'1 Raw Data'!E49+'1 Raw Data'!G49</f>
        <v/>
      </c>
      <c r="D10" s="5">
        <f>'2 Average Balances'!B10+'2 Average Balances'!C10-'2 Average Balances'!D10</f>
        <v/>
      </c>
      <c r="E10" s="5">
        <f>D10/('1 Raw Data'!B24)*100</f>
        <v/>
      </c>
      <c r="F10" s="5">
        <f>B10/('1 Raw Data'!B24)</f>
        <v/>
      </c>
      <c r="G10" s="5">
        <f>'1 Raw Data'!B49/'1 Raw Data'!E49</f>
        <v/>
      </c>
      <c r="H10" s="5">
        <f>'2 Average Balances'!B10/('1 Raw Data'!B24/365)</f>
        <v/>
      </c>
      <c r="I10" s="8">
        <f>'1 Raw Data'!B24/'2 Average Balances'!B10</f>
        <v/>
      </c>
      <c r="J10" s="5">
        <f>'2 Average Balances'!C10/('2 Average Balances'!E10/365)</f>
        <v/>
      </c>
      <c r="K10" s="5">
        <f>'2 Average Balances'!D10/('2 Average Balances'!E10/365)</f>
        <v/>
      </c>
      <c r="L10" s="5">
        <f>H10+J10-K10</f>
        <v/>
      </c>
      <c r="M10" s="5">
        <f>'1 Raw Data'!I49/('1 Raw Data'!B24)*100</f>
        <v/>
      </c>
      <c r="N10" s="11" t="inlineStr">
        <is>
          <t>⚠ Memory cycle distortion</t>
        </is>
      </c>
    </row>
    <row r="11">
      <c r="A11" s="4" t="inlineStr">
        <is>
          <t>STM</t>
        </is>
      </c>
      <c r="B11" s="4">
        <f>'1 Raw Data'!B50-'1 Raw Data'!E50</f>
        <v/>
      </c>
      <c r="C11" s="4">
        <f>'1 Raw Data'!B50-'1 Raw Data'!C50-'1 Raw Data'!E50+'1 Raw Data'!G50</f>
        <v/>
      </c>
      <c r="D11" s="4">
        <f>'2 Average Balances'!B11+'2 Average Balances'!C11-'2 Average Balances'!D11</f>
        <v/>
      </c>
      <c r="E11" s="4">
        <f>D11/('1 Raw Data'!B25)*100</f>
        <v/>
      </c>
      <c r="F11" s="4">
        <f>B11/('1 Raw Data'!B25)</f>
        <v/>
      </c>
      <c r="G11" s="4">
        <f>'1 Raw Data'!B50/'1 Raw Data'!E50</f>
        <v/>
      </c>
      <c r="H11" s="4">
        <f>'2 Average Balances'!B11/('1 Raw Data'!B25/365)</f>
        <v/>
      </c>
      <c r="I11" s="4">
        <f>'1 Raw Data'!B25/'2 Average Balances'!B11</f>
        <v/>
      </c>
      <c r="J11" s="4">
        <f>'2 Average Balances'!C11/('2 Average Balances'!E11/365)</f>
        <v/>
      </c>
      <c r="K11" s="4">
        <f>'2 Average Balances'!D11/('2 Average Balances'!E11/365)</f>
        <v/>
      </c>
      <c r="L11" s="4">
        <f>H11+J11-K11</f>
        <v/>
      </c>
      <c r="M11" s="8">
        <f>'1 Raw Data'!I50/('1 Raw Data'!B25)*100</f>
        <v/>
      </c>
      <c r="N11" s="4" t="inlineStr"/>
    </row>
    <row r="12">
      <c r="A12" s="5" t="inlineStr">
        <is>
          <t>Infineon</t>
        </is>
      </c>
      <c r="B12" s="5">
        <f>'1 Raw Data'!B51-'1 Raw Data'!E51</f>
        <v/>
      </c>
      <c r="C12" s="5">
        <f>'1 Raw Data'!B51-'1 Raw Data'!C51-'1 Raw Data'!E51+'1 Raw Data'!G51</f>
        <v/>
      </c>
      <c r="D12" s="5">
        <f>'2 Average Balances'!B12+'2 Average Balances'!C12-'2 Average Balances'!D12</f>
        <v/>
      </c>
      <c r="E12" s="5">
        <f>D12/('1 Raw Data'!B26)*100</f>
        <v/>
      </c>
      <c r="F12" s="5">
        <f>B12/('1 Raw Data'!B26)</f>
        <v/>
      </c>
      <c r="G12" s="5">
        <f>'1 Raw Data'!B51/'1 Raw Data'!E51</f>
        <v/>
      </c>
      <c r="H12" s="8">
        <f>'2 Average Balances'!B12/('1 Raw Data'!B26/365)</f>
        <v/>
      </c>
      <c r="I12" s="5">
        <f>'1 Raw Data'!B26/'2 Average Balances'!B12</f>
        <v/>
      </c>
      <c r="J12" s="5">
        <f>'2 Average Balances'!C12/('2 Average Balances'!E12/365)</f>
        <v/>
      </c>
      <c r="K12" s="8">
        <f>'2 Average Balances'!D12/('2 Average Balances'!E12/365)</f>
        <v/>
      </c>
      <c r="L12" s="8">
        <f>H12+J12-K12</f>
        <v/>
      </c>
      <c r="M12" s="5">
        <f>'1 Raw Data'!I51/('1 Raw Data'!B26)*100</f>
        <v/>
      </c>
      <c r="N12" s="11" t="inlineStr">
        <is>
          <t>⚠ Auto inventory crisis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20" customWidth="1" min="9" max="9"/>
    <col width="36" customWidth="1" min="10" max="10"/>
  </cols>
  <sheetData>
    <row r="1">
      <c r="A1" s="1" t="inlineStr">
        <is>
          <t>STEP 4 — RANKING TABLE  (1 = Best in peer group)</t>
        </is>
      </c>
    </row>
    <row r="2">
      <c r="A2" s="3" t="inlineStr">
        <is>
          <t>Company</t>
        </is>
      </c>
      <c r="B2" s="3" t="inlineStr">
        <is>
          <t>DSO Rank↓</t>
        </is>
      </c>
      <c r="C2" s="3" t="inlineStr">
        <is>
          <t>AR Turns Rank↑</t>
        </is>
      </c>
      <c r="D2" s="3" t="inlineStr">
        <is>
          <t>DIO Rank↓</t>
        </is>
      </c>
      <c r="E2" s="3" t="inlineStr">
        <is>
          <t>DPO Rank↑</t>
        </is>
      </c>
      <c r="F2" s="3" t="inlineStr">
        <is>
          <t>CCC Rank↓</t>
        </is>
      </c>
      <c r="G2" s="3" t="inlineStr">
        <is>
          <t>CRR Rank↑</t>
        </is>
      </c>
      <c r="H2" s="3" t="inlineStr">
        <is>
          <t>NWC% Rank↓</t>
        </is>
      </c>
      <c r="I2" s="3" t="inlineStr">
        <is>
          <t>WC Intensity Rank↓</t>
        </is>
      </c>
      <c r="J2" s="3" t="inlineStr">
        <is>
          <t>Current Ratio</t>
        </is>
      </c>
    </row>
    <row r="3">
      <c r="A3" s="4" t="inlineStr">
        <is>
          <t>NVIDIA</t>
        </is>
      </c>
      <c r="B3" s="4">
        <f>RANK('3 Metrics'!H3,'3 Metrics'!$H$3:$H$12,1)</f>
        <v/>
      </c>
      <c r="C3" s="4">
        <f>RANK('3 Metrics'!I3,'3 Metrics'!$I$3:$I$12,0)</f>
        <v/>
      </c>
      <c r="D3" s="4">
        <f>RANK('3 Metrics'!J3,'3 Metrics'!$J$3:$J$12,1)</f>
        <v/>
      </c>
      <c r="E3" s="4">
        <f>RANK('3 Metrics'!K3,'3 Metrics'!$K$3:$K$12,0)</f>
        <v/>
      </c>
      <c r="F3" s="4">
        <f>RANK('3 Metrics'!L3,'3 Metrics'!$L$3:$L$12,1)</f>
        <v/>
      </c>
      <c r="G3" s="4">
        <f>RANK('3 Metrics'!M3,'3 Metrics'!$M$3:$M$12,0)</f>
        <v/>
      </c>
      <c r="H3" s="4">
        <f>RANK('3 Metrics'!E3,'3 Metrics'!$E$3:$E$12,1)</f>
        <v/>
      </c>
      <c r="I3" s="4">
        <f>RANK('3 Metrics'!F3,'3 Metrics'!$F$3:$F$12,1)</f>
        <v/>
      </c>
      <c r="J3" s="4" t="inlineStr">
        <is>
          <t>2.79 – Cash-rich, no concern</t>
        </is>
      </c>
    </row>
    <row r="4">
      <c r="A4" s="5" t="inlineStr">
        <is>
          <t>AMD</t>
        </is>
      </c>
      <c r="B4" s="5">
        <f>RANK('3 Metrics'!H4,'3 Metrics'!$H$3:$H$12,1)</f>
        <v/>
      </c>
      <c r="C4" s="5">
        <f>RANK('3 Metrics'!I4,'3 Metrics'!$I$3:$I$12,0)</f>
        <v/>
      </c>
      <c r="D4" s="5">
        <f>RANK('3 Metrics'!J4,'3 Metrics'!$J$3:$J$12,1)</f>
        <v/>
      </c>
      <c r="E4" s="5">
        <f>RANK('3 Metrics'!K4,'3 Metrics'!$K$3:$K$12,0)</f>
        <v/>
      </c>
      <c r="F4" s="5">
        <f>RANK('3 Metrics'!L4,'3 Metrics'!$L$3:$L$12,1)</f>
        <v/>
      </c>
      <c r="G4" s="12">
        <f>RANK('3 Metrics'!M4,'3 Metrics'!$M$3:$M$12,0)</f>
        <v/>
      </c>
      <c r="H4" s="5">
        <f>RANK('3 Metrics'!E4,'3 Metrics'!$E$3:$E$12,1)</f>
        <v/>
      </c>
      <c r="I4" s="5">
        <f>RANK('3 Metrics'!F4,'3 Metrics'!$F$3:$F$12,1)</f>
        <v/>
      </c>
      <c r="J4" s="5" t="inlineStr">
        <is>
          <t>2.74 – Healthy fabless</t>
        </is>
      </c>
    </row>
    <row r="5">
      <c r="A5" s="4" t="inlineStr">
        <is>
          <t>Intel</t>
        </is>
      </c>
      <c r="B5" s="13">
        <f>RANK('3 Metrics'!H5,'3 Metrics'!$H$3:$H$12,1)</f>
        <v/>
      </c>
      <c r="C5" s="13">
        <f>RANK('3 Metrics'!I5,'3 Metrics'!$I$3:$I$12,0)</f>
        <v/>
      </c>
      <c r="D5" s="4">
        <f>RANK('3 Metrics'!J5,'3 Metrics'!$J$3:$J$12,1)</f>
        <v/>
      </c>
      <c r="E5" s="4">
        <f>RANK('3 Metrics'!K5,'3 Metrics'!$K$3:$K$12,0)</f>
        <v/>
      </c>
      <c r="F5" s="4">
        <f>RANK('3 Metrics'!L5,'3 Metrics'!$L$3:$L$12,1)</f>
        <v/>
      </c>
      <c r="G5" s="4">
        <f>RANK('3 Metrics'!M5,'3 Metrics'!$M$3:$M$12,0)</f>
        <v/>
      </c>
      <c r="H5" s="4">
        <f>RANK('3 Metrics'!E5,'3 Metrics'!$E$3:$E$12,1)</f>
        <v/>
      </c>
      <c r="I5" s="13">
        <f>RANK('3 Metrics'!F5,'3 Metrics'!$F$3:$F$12,1)</f>
        <v/>
      </c>
      <c r="J5" s="4" t="inlineStr">
        <is>
          <t>1.33 – Low; restructuring payables</t>
        </is>
      </c>
    </row>
    <row r="6">
      <c r="A6" s="5" t="inlineStr">
        <is>
          <t>TXN</t>
        </is>
      </c>
      <c r="B6" s="5">
        <f>RANK('3 Metrics'!H6,'3 Metrics'!$H$3:$H$12,1)</f>
        <v/>
      </c>
      <c r="C6" s="5">
        <f>RANK('3 Metrics'!I6,'3 Metrics'!$I$3:$I$12,0)</f>
        <v/>
      </c>
      <c r="D6" s="5">
        <f>RANK('3 Metrics'!J6,'3 Metrics'!$J$3:$J$12,1)</f>
        <v/>
      </c>
      <c r="E6" s="12">
        <f>RANK('3 Metrics'!K6,'3 Metrics'!$K$3:$K$12,0)</f>
        <v/>
      </c>
      <c r="F6" s="5">
        <f>RANK('3 Metrics'!L6,'3 Metrics'!$L$3:$L$12,1)</f>
        <v/>
      </c>
      <c r="G6" s="5">
        <f>RANK('3 Metrics'!M6,'3 Metrics'!$M$3:$M$12,0)</f>
        <v/>
      </c>
      <c r="H6" s="5">
        <f>RANK('3 Metrics'!E6,'3 Metrics'!$E$3:$E$12,1)</f>
        <v/>
      </c>
      <c r="I6" s="5">
        <f>RANK('3 Metrics'!F6,'3 Metrics'!$F$3:$F$12,1)</f>
        <v/>
      </c>
      <c r="J6" s="5" t="inlineStr">
        <is>
          <t>2.55 – Good; DIO is strategic</t>
        </is>
      </c>
    </row>
    <row r="7">
      <c r="A7" s="4" t="inlineStr">
        <is>
          <t>Qualcomm</t>
        </is>
      </c>
      <c r="B7" s="4">
        <f>RANK('3 Metrics'!H7,'3 Metrics'!$H$3:$H$12,1)</f>
        <v/>
      </c>
      <c r="C7" s="4">
        <f>RANK('3 Metrics'!I7,'3 Metrics'!$I$3:$I$12,0)</f>
        <v/>
      </c>
      <c r="D7" s="13">
        <f>RANK('3 Metrics'!J7,'3 Metrics'!$J$3:$J$12,1)</f>
        <v/>
      </c>
      <c r="E7" s="13">
        <f>RANK('3 Metrics'!K7,'3 Metrics'!$K$3:$K$12,0)</f>
        <v/>
      </c>
      <c r="F7" s="13">
        <f>RANK('3 Metrics'!L7,'3 Metrics'!$L$3:$L$12,1)</f>
        <v/>
      </c>
      <c r="G7" s="4">
        <f>RANK('3 Metrics'!M7,'3 Metrics'!$M$3:$M$12,0)</f>
        <v/>
      </c>
      <c r="H7" s="13">
        <f>RANK('3 Metrics'!E7,'3 Metrics'!$E$3:$E$12,1)</f>
        <v/>
      </c>
      <c r="I7" s="4">
        <f>RANK('3 Metrics'!F7,'3 Metrics'!$F$3:$F$12,1)</f>
        <v/>
      </c>
      <c r="J7" s="4" t="inlineStr">
        <is>
          <t>1.93 – Solid fabless</t>
        </is>
      </c>
    </row>
    <row r="8">
      <c r="A8" s="5" t="inlineStr">
        <is>
          <t>NXP</t>
        </is>
      </c>
      <c r="B8" s="5">
        <f>RANK('3 Metrics'!H8,'3 Metrics'!$H$3:$H$12,1)</f>
        <v/>
      </c>
      <c r="C8" s="5">
        <f>RANK('3 Metrics'!I8,'3 Metrics'!$I$3:$I$12,0)</f>
        <v/>
      </c>
      <c r="D8" s="5">
        <f>RANK('3 Metrics'!J8,'3 Metrics'!$J$3:$J$12,1)</f>
        <v/>
      </c>
      <c r="E8" s="5">
        <f>RANK('3 Metrics'!K8,'3 Metrics'!$K$3:$K$12,0)</f>
        <v/>
      </c>
      <c r="F8" s="5">
        <f>RANK('3 Metrics'!L8,'3 Metrics'!$L$3:$L$12,1)</f>
        <v/>
      </c>
      <c r="G8" s="5">
        <f>RANK('3 Metrics'!M8,'3 Metrics'!$M$3:$M$12,0)</f>
        <v/>
      </c>
      <c r="H8" s="5">
        <f>RANK('3 Metrics'!E8,'3 Metrics'!$E$3:$E$12,1)</f>
        <v/>
      </c>
      <c r="I8" s="5">
        <f>RANK('3 Metrics'!F8,'3 Metrics'!$F$3:$F$12,1)</f>
        <v/>
      </c>
      <c r="J8" s="5" t="inlineStr">
        <is>
          <t>1.55 – Adequate</t>
        </is>
      </c>
    </row>
    <row r="9">
      <c r="A9" s="4" t="inlineStr">
        <is>
          <t>TSMC</t>
        </is>
      </c>
      <c r="B9" s="4">
        <f>RANK('3 Metrics'!H9,'3 Metrics'!$H$3:$H$12,1)</f>
        <v/>
      </c>
      <c r="C9" s="4">
        <f>RANK('3 Metrics'!I9,'3 Metrics'!$I$3:$I$12,0)</f>
        <v/>
      </c>
      <c r="D9" s="4">
        <f>RANK('3 Metrics'!J9,'3 Metrics'!$J$3:$J$12,1)</f>
        <v/>
      </c>
      <c r="E9" s="4">
        <f>RANK('3 Metrics'!K9,'3 Metrics'!$K$3:$K$12,0)</f>
        <v/>
      </c>
      <c r="F9" s="4">
        <f>RANK('3 Metrics'!L9,'3 Metrics'!$L$3:$L$12,1)</f>
        <v/>
      </c>
      <c r="G9" s="13">
        <f>RANK('3 Metrics'!M9,'3 Metrics'!$M$3:$M$12,0)</f>
        <v/>
      </c>
      <c r="H9" s="4">
        <f>RANK('3 Metrics'!E9,'3 Metrics'!$E$3:$E$12,1)</f>
        <v/>
      </c>
      <c r="I9" s="12">
        <f>RANK('3 Metrics'!F9,'3 Metrics'!$F$3:$F$12,1)</f>
        <v/>
      </c>
      <c r="J9" s="4" t="inlineStr">
        <is>
          <t>2.76 – High; capex cash reserves</t>
        </is>
      </c>
    </row>
    <row r="10">
      <c r="A10" s="5" t="inlineStr">
        <is>
          <t>Micron</t>
        </is>
      </c>
      <c r="B10" s="5">
        <f>RANK('3 Metrics'!H10,'3 Metrics'!$H$3:$H$12,1)</f>
        <v/>
      </c>
      <c r="C10" s="5">
        <f>RANK('3 Metrics'!I10,'3 Metrics'!$I$3:$I$12,0)</f>
        <v/>
      </c>
      <c r="D10" s="5">
        <f>RANK('3 Metrics'!J10,'3 Metrics'!$J$3:$J$12,1)</f>
        <v/>
      </c>
      <c r="E10" s="5">
        <f>RANK('3 Metrics'!K10,'3 Metrics'!$K$3:$K$12,0)</f>
        <v/>
      </c>
      <c r="F10" s="5">
        <f>RANK('3 Metrics'!L10,'3 Metrics'!$L$3:$L$12,1)</f>
        <v/>
      </c>
      <c r="G10" s="5">
        <f>RANK('3 Metrics'!M10,'3 Metrics'!$M$3:$M$12,0)</f>
        <v/>
      </c>
      <c r="H10" s="5">
        <f>RANK('3 Metrics'!E10,'3 Metrics'!$E$3:$E$12,1)</f>
        <v/>
      </c>
      <c r="I10" s="5">
        <f>RANK('3 Metrics'!F10,'3 Metrics'!$F$3:$F$12,1)</f>
        <v/>
      </c>
      <c r="J10" s="5" t="inlineStr">
        <is>
          <t>2.52 – Adequate; memory recovery</t>
        </is>
      </c>
    </row>
    <row r="11">
      <c r="A11" s="4" t="inlineStr">
        <is>
          <t>STM</t>
        </is>
      </c>
      <c r="B11" s="4">
        <f>RANK('3 Metrics'!H11,'3 Metrics'!$H$3:$H$12,1)</f>
        <v/>
      </c>
      <c r="C11" s="4">
        <f>RANK('3 Metrics'!I11,'3 Metrics'!$I$3:$I$12,0)</f>
        <v/>
      </c>
      <c r="D11" s="4">
        <f>RANK('3 Metrics'!J11,'3 Metrics'!$J$3:$J$12,1)</f>
        <v/>
      </c>
      <c r="E11" s="4">
        <f>RANK('3 Metrics'!K11,'3 Metrics'!$K$3:$K$12,0)</f>
        <v/>
      </c>
      <c r="F11" s="4">
        <f>RANK('3 Metrics'!L11,'3 Metrics'!$L$3:$L$12,1)</f>
        <v/>
      </c>
      <c r="G11" s="4">
        <f>RANK('3 Metrics'!M11,'3 Metrics'!$M$3:$M$12,0)</f>
        <v/>
      </c>
      <c r="H11" s="4">
        <f>RANK('3 Metrics'!E11,'3 Metrics'!$E$3:$E$12,1)</f>
        <v/>
      </c>
      <c r="I11" s="4">
        <f>RANK('3 Metrics'!F11,'3 Metrics'!$F$3:$F$12,1)</f>
        <v/>
      </c>
      <c r="J11" s="4" t="inlineStr">
        <is>
          <t>2.13 – Adequate</t>
        </is>
      </c>
    </row>
    <row r="12">
      <c r="A12" s="5" t="inlineStr">
        <is>
          <t>Infineon</t>
        </is>
      </c>
      <c r="B12" s="12">
        <f>RANK('3 Metrics'!H12,'3 Metrics'!$H$3:$H$12,1)</f>
        <v/>
      </c>
      <c r="C12" s="12">
        <f>RANK('3 Metrics'!I12,'3 Metrics'!$I$3:$I$12,0)</f>
        <v/>
      </c>
      <c r="D12" s="12">
        <f>RANK('3 Metrics'!J12,'3 Metrics'!$J$3:$J$12,1)</f>
        <v/>
      </c>
      <c r="E12" s="5">
        <f>RANK('3 Metrics'!K12,'3 Metrics'!$K$3:$K$12,0)</f>
        <v/>
      </c>
      <c r="F12" s="12">
        <f>RANK('3 Metrics'!L12,'3 Metrics'!$L$3:$L$12,1)</f>
        <v/>
      </c>
      <c r="G12" s="5">
        <f>RANK('3 Metrics'!M12,'3 Metrics'!$M$3:$M$12,0)</f>
        <v/>
      </c>
      <c r="H12" s="12">
        <f>RANK('3 Metrics'!E12,'3 Metrics'!$E$3:$E$12,1)</f>
        <v/>
      </c>
      <c r="I12" s="5">
        <f>RANK('3 Metrics'!F12,'3 Metrics'!$F$3:$F$12,1)</f>
        <v/>
      </c>
      <c r="J12" s="5" t="inlineStr">
        <is>
          <t>1.74 – Adequate; auto distress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0" customWidth="1" min="4" max="4"/>
    <col width="10" customWidth="1" min="5" max="5"/>
    <col width="11" customWidth="1" min="6" max="6"/>
    <col width="20" customWidth="1" min="7" max="7"/>
    <col width="10" customWidth="1" min="8" max="8"/>
    <col width="22" customWidth="1" min="9" max="9"/>
    <col width="10" customWidth="1" min="10" max="10"/>
    <col width="10" customWidth="1" min="11" max="11"/>
    <col width="17" customWidth="1" min="12" max="12"/>
    <col width="16" customWidth="1" min="13" max="13"/>
  </cols>
  <sheetData>
    <row r="1">
      <c r="A1" s="1" t="inlineStr">
        <is>
          <t>STEP 5 — SCORING MODEL</t>
        </is>
      </c>
    </row>
    <row r="2">
      <c r="A2" s="2" t="inlineStr">
        <is>
          <t>Version A: Equal Weights 20% each | Version B: CCC 30%, NWC% 25%, DSO 15%, AR Turns 15%, CRR 15%</t>
        </is>
      </c>
    </row>
    <row r="3">
      <c r="A3" s="3" t="inlineStr">
        <is>
          <t>Company</t>
        </is>
      </c>
      <c r="B3" s="3" t="inlineStr">
        <is>
          <t>DSO Rank</t>
        </is>
      </c>
      <c r="C3" s="3" t="inlineStr">
        <is>
          <t>AR Turns Rank</t>
        </is>
      </c>
      <c r="D3" s="3" t="inlineStr">
        <is>
          <t>CCC Rank</t>
        </is>
      </c>
      <c r="E3" s="3" t="inlineStr">
        <is>
          <t>CRR Rank</t>
        </is>
      </c>
      <c r="F3" s="3" t="inlineStr">
        <is>
          <t>NWC% Rank</t>
        </is>
      </c>
      <c r="G3" s="3" t="inlineStr">
        <is>
          <t>V-A Score (eq. wt)</t>
        </is>
      </c>
      <c r="H3" s="3" t="inlineStr">
        <is>
          <t>V-A Rank</t>
        </is>
      </c>
      <c r="I3" s="3" t="inlineStr">
        <is>
          <t>V-B Score (sens. wt)</t>
        </is>
      </c>
      <c r="J3" s="3" t="inlineStr">
        <is>
          <t>V-B Rank</t>
        </is>
      </c>
      <c r="K3" s="3" t="inlineStr">
        <is>
          <t>Quartile</t>
        </is>
      </c>
      <c r="L3" s="3" t="inlineStr">
        <is>
          <t>Best-Practice?</t>
        </is>
      </c>
      <c r="M3" s="3" t="inlineStr">
        <is>
          <t>Rank-shift A→B</t>
        </is>
      </c>
    </row>
    <row r="4">
      <c r="A4" s="4" t="inlineStr">
        <is>
          <t>NVIDIA</t>
        </is>
      </c>
      <c r="B4" s="4">
        <f>'4 Rankings'!B3</f>
        <v/>
      </c>
      <c r="C4" s="4">
        <f>'4 Rankings'!C3</f>
        <v/>
      </c>
      <c r="D4" s="4">
        <f>'4 Rankings'!F3</f>
        <v/>
      </c>
      <c r="E4" s="4">
        <f>'4 Rankings'!G3</f>
        <v/>
      </c>
      <c r="F4" s="4">
        <f>'4 Rankings'!H3</f>
        <v/>
      </c>
      <c r="G4" s="4">
        <f>(B4+C4+D4+E4+F4)/5</f>
        <v/>
      </c>
      <c r="H4" s="4">
        <f>RANK(G4,$G$4:$G$13,1)</f>
        <v/>
      </c>
      <c r="I4" s="4">
        <f>D4*0.30+F4*0.25+B4*0.15+C4*0.15+E4*0.15</f>
        <v/>
      </c>
      <c r="J4" s="4">
        <f>RANK(I4,$I$4:$I$13,1)</f>
        <v/>
      </c>
      <c r="K4" s="14">
        <f>IF(H4&lt;=3,"Q1",IF(H4&lt;=5,"Q2",IF(H4&lt;=8,"Q3","Q4")))</f>
        <v/>
      </c>
      <c r="L4" s="13" t="inlineStr">
        <is>
          <t>🏆 Overall Best</t>
        </is>
      </c>
      <c r="M4" s="4">
        <f>IF(H4-J4=0,"Stable",IF(H4-J4&gt;0,"+"&amp;(H4-J4)&amp;" (V-B)",(H4-J4)&amp;" (V-B)"))</f>
        <v/>
      </c>
    </row>
    <row r="5">
      <c r="A5" s="5" t="inlineStr">
        <is>
          <t>AMD</t>
        </is>
      </c>
      <c r="B5" s="5">
        <f>'4 Rankings'!B4</f>
        <v/>
      </c>
      <c r="C5" s="5">
        <f>'4 Rankings'!C4</f>
        <v/>
      </c>
      <c r="D5" s="5">
        <f>'4 Rankings'!F4</f>
        <v/>
      </c>
      <c r="E5" s="5">
        <f>'4 Rankings'!G4</f>
        <v/>
      </c>
      <c r="F5" s="5">
        <f>'4 Rankings'!H4</f>
        <v/>
      </c>
      <c r="G5" s="5">
        <f>(B5+C5+D5+E5+F5)/5</f>
        <v/>
      </c>
      <c r="H5" s="5">
        <f>RANK(G5,$G$4:$G$13,1)</f>
        <v/>
      </c>
      <c r="I5" s="5">
        <f>D5*0.30+F5*0.25+B5*0.15+C5*0.15+E5*0.15</f>
        <v/>
      </c>
      <c r="J5" s="5">
        <f>RANK(I5,$I$4:$I$13,1)</f>
        <v/>
      </c>
      <c r="K5" s="15">
        <f>IF(H5&lt;=3,"Q1",IF(H5&lt;=5,"Q2",IF(H5&lt;=8,"Q3","Q4")))</f>
        <v/>
      </c>
      <c r="L5" s="5" t="inlineStr"/>
      <c r="M5" s="5">
        <f>IF(H5-J5=0,"Stable",IF(H5-J5&gt;0,"+"&amp;(H5-J5)&amp;" (V-B)",(H5-J5)&amp;" (V-B)"))</f>
        <v/>
      </c>
    </row>
    <row r="6">
      <c r="A6" s="4" t="inlineStr">
        <is>
          <t>Intel</t>
        </is>
      </c>
      <c r="B6" s="4">
        <f>'4 Rankings'!B5</f>
        <v/>
      </c>
      <c r="C6" s="4">
        <f>'4 Rankings'!C5</f>
        <v/>
      </c>
      <c r="D6" s="4">
        <f>'4 Rankings'!F5</f>
        <v/>
      </c>
      <c r="E6" s="4">
        <f>'4 Rankings'!G5</f>
        <v/>
      </c>
      <c r="F6" s="4">
        <f>'4 Rankings'!H5</f>
        <v/>
      </c>
      <c r="G6" s="4">
        <f>(B6+C6+D6+E6+F6)/5</f>
        <v/>
      </c>
      <c r="H6" s="4">
        <f>RANK(G6,$G$4:$G$13,1)</f>
        <v/>
      </c>
      <c r="I6" s="4">
        <f>D6*0.30+F6*0.25+B6*0.15+C6*0.15+E6*0.15</f>
        <v/>
      </c>
      <c r="J6" s="4">
        <f>RANK(I6,$I$4:$I$13,1)</f>
        <v/>
      </c>
      <c r="K6" s="14">
        <f>IF(H6&lt;=3,"Q1",IF(H6&lt;=5,"Q2",IF(H6&lt;=8,"Q3","Q4")))</f>
        <v/>
      </c>
      <c r="L6" s="4" t="inlineStr"/>
      <c r="M6" s="4">
        <f>IF(H6-J6=0,"Stable",IF(H6-J6&gt;0,"+"&amp;(H6-J6)&amp;" (V-B)",(H6-J6)&amp;" (V-B)"))</f>
        <v/>
      </c>
    </row>
    <row r="7">
      <c r="A7" s="5" t="inlineStr">
        <is>
          <t>TXN</t>
        </is>
      </c>
      <c r="B7" s="5">
        <f>'4 Rankings'!B6</f>
        <v/>
      </c>
      <c r="C7" s="5">
        <f>'4 Rankings'!C6</f>
        <v/>
      </c>
      <c r="D7" s="5">
        <f>'4 Rankings'!F6</f>
        <v/>
      </c>
      <c r="E7" s="5">
        <f>'4 Rankings'!G6</f>
        <v/>
      </c>
      <c r="F7" s="5">
        <f>'4 Rankings'!H6</f>
        <v/>
      </c>
      <c r="G7" s="5">
        <f>(B7+C7+D7+E7+F7)/5</f>
        <v/>
      </c>
      <c r="H7" s="5">
        <f>RANK(G7,$G$4:$G$13,1)</f>
        <v/>
      </c>
      <c r="I7" s="5">
        <f>D7*0.30+F7*0.25+B7*0.15+C7*0.15+E7*0.15</f>
        <v/>
      </c>
      <c r="J7" s="5">
        <f>RANK(I7,$I$4:$I$13,1)</f>
        <v/>
      </c>
      <c r="K7" s="15">
        <f>IF(H7&lt;=3,"Q1",IF(H7&lt;=5,"Q2",IF(H7&lt;=8,"Q3","Q4")))</f>
        <v/>
      </c>
      <c r="L7" s="5" t="inlineStr"/>
      <c r="M7" s="5">
        <f>IF(H7-J7=0,"Stable",IF(H7-J7&gt;0,"+"&amp;(H7-J7)&amp;" (V-B)",(H7-J7)&amp;" (V-B)"))</f>
        <v/>
      </c>
    </row>
    <row r="8">
      <c r="A8" s="4" t="inlineStr">
        <is>
          <t>Qualcomm</t>
        </is>
      </c>
      <c r="B8" s="4">
        <f>'4 Rankings'!B7</f>
        <v/>
      </c>
      <c r="C8" s="4">
        <f>'4 Rankings'!C7</f>
        <v/>
      </c>
      <c r="D8" s="4">
        <f>'4 Rankings'!F7</f>
        <v/>
      </c>
      <c r="E8" s="4">
        <f>'4 Rankings'!G7</f>
        <v/>
      </c>
      <c r="F8" s="4">
        <f>'4 Rankings'!H7</f>
        <v/>
      </c>
      <c r="G8" s="4">
        <f>(B8+C8+D8+E8+F8)/5</f>
        <v/>
      </c>
      <c r="H8" s="4">
        <f>RANK(G8,$G$4:$G$13,1)</f>
        <v/>
      </c>
      <c r="I8" s="4">
        <f>D8*0.30+F8*0.25+B8*0.15+C8*0.15+E8*0.15</f>
        <v/>
      </c>
      <c r="J8" s="4">
        <f>RANK(I8,$I$4:$I$13,1)</f>
        <v/>
      </c>
      <c r="K8" s="16">
        <f>IF(H8&lt;=3,"Q1",IF(H8&lt;=5,"Q2",IF(H8&lt;=8,"Q3","Q4")))</f>
        <v/>
      </c>
      <c r="L8" s="13" t="inlineStr">
        <is>
          <t>Best CCC &amp; NWC%</t>
        </is>
      </c>
      <c r="M8" s="4">
        <f>IF(H8-J8=0,"Stable",IF(H8-J8&gt;0,"+"&amp;(H8-J8)&amp;" (V-B)",(H8-J8)&amp;" (V-B)"))</f>
        <v/>
      </c>
    </row>
    <row r="9">
      <c r="A9" s="5" t="inlineStr">
        <is>
          <t>NXP</t>
        </is>
      </c>
      <c r="B9" s="5">
        <f>'4 Rankings'!B8</f>
        <v/>
      </c>
      <c r="C9" s="5">
        <f>'4 Rankings'!C8</f>
        <v/>
      </c>
      <c r="D9" s="5">
        <f>'4 Rankings'!F8</f>
        <v/>
      </c>
      <c r="E9" s="5">
        <f>'4 Rankings'!G8</f>
        <v/>
      </c>
      <c r="F9" s="5">
        <f>'4 Rankings'!H8</f>
        <v/>
      </c>
      <c r="G9" s="5">
        <f>(B9+C9+D9+E9+F9)/5</f>
        <v/>
      </c>
      <c r="H9" s="5">
        <f>RANK(G9,$G$4:$G$13,1)</f>
        <v/>
      </c>
      <c r="I9" s="5">
        <f>D9*0.30+F9*0.25+B9*0.15+C9*0.15+E9*0.15</f>
        <v/>
      </c>
      <c r="J9" s="5">
        <f>RANK(I9,$I$4:$I$13,1)</f>
        <v/>
      </c>
      <c r="K9" s="16">
        <f>IF(H9&lt;=3,"Q1",IF(H9&lt;=5,"Q2",IF(H9&lt;=8,"Q3","Q4")))</f>
        <v/>
      </c>
      <c r="L9" s="5" t="inlineStr"/>
      <c r="M9" s="5">
        <f>IF(H9-J9=0,"Stable",IF(H9-J9&gt;0,"+"&amp;(H9-J9)&amp;" (V-B)",(H9-J9)&amp;" (V-B)"))</f>
        <v/>
      </c>
    </row>
    <row r="10">
      <c r="A10" s="4" t="inlineStr">
        <is>
          <t>TSMC</t>
        </is>
      </c>
      <c r="B10" s="4">
        <f>'4 Rankings'!B9</f>
        <v/>
      </c>
      <c r="C10" s="4">
        <f>'4 Rankings'!C9</f>
        <v/>
      </c>
      <c r="D10" s="4">
        <f>'4 Rankings'!F9</f>
        <v/>
      </c>
      <c r="E10" s="4">
        <f>'4 Rankings'!G9</f>
        <v/>
      </c>
      <c r="F10" s="4">
        <f>'4 Rankings'!H9</f>
        <v/>
      </c>
      <c r="G10" s="4">
        <f>(B10+C10+D10+E10+F10)/5</f>
        <v/>
      </c>
      <c r="H10" s="4">
        <f>RANK(G10,$G$4:$G$13,1)</f>
        <v/>
      </c>
      <c r="I10" s="4">
        <f>D10*0.30+F10*0.25+B10*0.15+C10*0.15+E10*0.15</f>
        <v/>
      </c>
      <c r="J10" s="4">
        <f>RANK(I10,$I$4:$I$13,1)</f>
        <v/>
      </c>
      <c r="K10" s="14">
        <f>IF(H10&lt;=3,"Q1",IF(H10&lt;=5,"Q2",IF(H10&lt;=8,"Q3","Q4")))</f>
        <v/>
      </c>
      <c r="L10" s="13" t="inlineStr">
        <is>
          <t>Best CRR</t>
        </is>
      </c>
      <c r="M10" s="4">
        <f>IF(H10-J10=0,"Stable",IF(H10-J10&gt;0,"+"&amp;(H10-J10)&amp;" (V-B)",(H10-J10)&amp;" (V-B)"))</f>
        <v/>
      </c>
    </row>
    <row r="11">
      <c r="A11" s="5" t="inlineStr">
        <is>
          <t>Micron</t>
        </is>
      </c>
      <c r="B11" s="5">
        <f>'4 Rankings'!B10</f>
        <v/>
      </c>
      <c r="C11" s="5">
        <f>'4 Rankings'!C10</f>
        <v/>
      </c>
      <c r="D11" s="5">
        <f>'4 Rankings'!F10</f>
        <v/>
      </c>
      <c r="E11" s="5">
        <f>'4 Rankings'!G10</f>
        <v/>
      </c>
      <c r="F11" s="5">
        <f>'4 Rankings'!H10</f>
        <v/>
      </c>
      <c r="G11" s="5">
        <f>(B11+C11+D11+E11+F11)/5</f>
        <v/>
      </c>
      <c r="H11" s="5">
        <f>RANK(G11,$G$4:$G$13,1)</f>
        <v/>
      </c>
      <c r="I11" s="5">
        <f>D11*0.30+F11*0.25+B11*0.15+C11*0.15+E11*0.15</f>
        <v/>
      </c>
      <c r="J11" s="5">
        <f>RANK(I11,$I$4:$I$13,1)</f>
        <v/>
      </c>
      <c r="K11" s="15">
        <f>IF(H11&lt;=3,"Q1",IF(H11&lt;=5,"Q2",IF(H11&lt;=8,"Q3","Q4")))</f>
        <v/>
      </c>
      <c r="L11" s="5" t="inlineStr"/>
      <c r="M11" s="5">
        <f>IF(H11-J11=0,"Stable",IF(H11-J11&gt;0,"+"&amp;(H11-J11)&amp;" (V-B)",(H11-J11)&amp;" (V-B)"))</f>
        <v/>
      </c>
    </row>
    <row r="12">
      <c r="A12" s="4" t="inlineStr">
        <is>
          <t>STM</t>
        </is>
      </c>
      <c r="B12" s="4">
        <f>'4 Rankings'!B11</f>
        <v/>
      </c>
      <c r="C12" s="4">
        <f>'4 Rankings'!C11</f>
        <v/>
      </c>
      <c r="D12" s="4">
        <f>'4 Rankings'!F11</f>
        <v/>
      </c>
      <c r="E12" s="4">
        <f>'4 Rankings'!G11</f>
        <v/>
      </c>
      <c r="F12" s="4">
        <f>'4 Rankings'!H11</f>
        <v/>
      </c>
      <c r="G12" s="4">
        <f>(B12+C12+D12+E12+F12)/5</f>
        <v/>
      </c>
      <c r="H12" s="4">
        <f>RANK(G12,$G$4:$G$13,1)</f>
        <v/>
      </c>
      <c r="I12" s="4">
        <f>D12*0.30+F12*0.25+B12*0.15+C12*0.15+E12*0.15</f>
        <v/>
      </c>
      <c r="J12" s="4">
        <f>RANK(I12,$I$4:$I$13,1)</f>
        <v/>
      </c>
      <c r="K12" s="8">
        <f>IF(H12&lt;=3,"Q1",IF(H12&lt;=5,"Q2",IF(H12&lt;=8,"Q3","Q4")))</f>
        <v/>
      </c>
      <c r="L12" s="4" t="inlineStr"/>
      <c r="M12" s="4">
        <f>IF(H12-J12=0,"Stable",IF(H12-J12&gt;0,"+"&amp;(H12-J12)&amp;" (V-B)",(H12-J12)&amp;" (V-B)"))</f>
        <v/>
      </c>
    </row>
    <row r="13">
      <c r="A13" s="5" t="inlineStr">
        <is>
          <t>Infineon</t>
        </is>
      </c>
      <c r="B13" s="5">
        <f>'4 Rankings'!B12</f>
        <v/>
      </c>
      <c r="C13" s="5">
        <f>'4 Rankings'!C12</f>
        <v/>
      </c>
      <c r="D13" s="5">
        <f>'4 Rankings'!F12</f>
        <v/>
      </c>
      <c r="E13" s="5">
        <f>'4 Rankings'!G12</f>
        <v/>
      </c>
      <c r="F13" s="5">
        <f>'4 Rankings'!H12</f>
        <v/>
      </c>
      <c r="G13" s="5">
        <f>(B13+C13+D13+E13+F13)/5</f>
        <v/>
      </c>
      <c r="H13" s="5">
        <f>RANK(G13,$G$4:$G$13,1)</f>
        <v/>
      </c>
      <c r="I13" s="5">
        <f>D13*0.30+F13*0.25+B13*0.15+C13*0.15+E13*0.15</f>
        <v/>
      </c>
      <c r="J13" s="5">
        <f>RANK(I13,$I$4:$I$13,1)</f>
        <v/>
      </c>
      <c r="K13" s="8">
        <f>IF(H13&lt;=3,"Q1",IF(H13&lt;=5,"Q2",IF(H13&lt;=8,"Q3","Q4")))</f>
        <v/>
      </c>
      <c r="L13" s="5" t="inlineStr"/>
      <c r="M13" s="5">
        <f>IF(H13-J13=0,"Stable",IF(H13-J13&gt;0,"+"&amp;(H13-J13)&amp;" (V-B)",(H13-J13)&amp;" (V-B)"))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9" customWidth="1" min="3" max="3"/>
    <col width="16" customWidth="1" min="4" max="4"/>
    <col width="19" customWidth="1" min="5" max="5"/>
    <col width="16" customWidth="1" min="6" max="6"/>
    <col width="19" customWidth="1" min="7" max="7"/>
    <col width="16" customWidth="1" min="8" max="8"/>
    <col width="30" customWidth="1" min="9" max="9"/>
  </cols>
  <sheetData>
    <row r="1">
      <c r="A1" s="1" t="inlineStr">
        <is>
          <t>STEP 6 — CASH POTENTIAL (Q3 &amp; Q4 companies only, USD M)</t>
        </is>
      </c>
    </row>
    <row r="2">
      <c r="A2" s="2">
        <f>"Best-in-Class: DSO = "&amp;INDEX('3 Metrics'!$A$3:$A$12,MATCH(MIN('3 Metrics'!$H$3:$H$12),'3 Metrics'!$H$3:$H$12,0))&amp;" "&amp;TEXT(MIN('3 Metrics'!$H$3:$H$12),"0.00")&amp;"d | DIO = "&amp;INDEX('3 Metrics'!$A$3:$A$12,MATCH(MIN('3 Metrics'!$J$3:$J$12),'3 Metrics'!$J$3:$J$12,0))&amp;" "&amp;TEXT(MIN('3 Metrics'!$J$3:$J$12),"0.00")&amp;"d | DPO = "&amp;INDEX('3 Metrics'!$A$3:$A$12,MATCH(MAX('3 Metrics'!$K$3:$K$12),'3 Metrics'!$K$3:$K$12,0))&amp;" "&amp;TEXT(MAX('3 Metrics'!$K$3:$K$12),"0.00")&amp;"d"</f>
        <v/>
      </c>
    </row>
    <row r="3">
      <c r="A3" s="3" t="inlineStr">
        <is>
          <t>Company</t>
        </is>
      </c>
      <c r="B3" s="3" t="inlineStr">
        <is>
          <t>Quartile</t>
        </is>
      </c>
      <c r="C3" s="3" t="inlineStr">
        <is>
          <t>DSO Lever (USD M)</t>
        </is>
      </c>
      <c r="D3" s="3" t="inlineStr">
        <is>
          <t>DSO Gap (days)</t>
        </is>
      </c>
      <c r="E3" s="3" t="inlineStr">
        <is>
          <t>DIO Lever (USD M)</t>
        </is>
      </c>
      <c r="F3" s="3" t="inlineStr">
        <is>
          <t>DIO Gap (days)</t>
        </is>
      </c>
      <c r="G3" s="3" t="inlineStr">
        <is>
          <t>DPO Lever (USD M)</t>
        </is>
      </c>
      <c r="H3" s="3" t="inlineStr">
        <is>
          <t>DPO Gap (days)</t>
        </is>
      </c>
      <c r="I3" s="3" t="inlineStr">
        <is>
          <t>TOTAL Cash Potential (USD M)</t>
        </is>
      </c>
    </row>
    <row r="4">
      <c r="A4" s="4" t="inlineStr">
        <is>
          <t>TXN</t>
        </is>
      </c>
      <c r="B4" s="16">
        <f>'5 Scoring Model'!K7</f>
        <v/>
      </c>
      <c r="C4" s="4">
        <f>D4*('1 Raw Data'!B20/365)</f>
        <v/>
      </c>
      <c r="D4" s="4">
        <f>'3 Metrics'!H6-MIN('3 Metrics'!$H$3:$H$12)</f>
        <v/>
      </c>
      <c r="E4" s="4">
        <f>F4*('2 Average Balances'!E6/365)</f>
        <v/>
      </c>
      <c r="F4" s="4">
        <f>'3 Metrics'!J6-MIN('3 Metrics'!$J$3:$J$12)</f>
        <v/>
      </c>
      <c r="G4" s="4">
        <f>H4*('2 Average Balances'!E6/365)</f>
        <v/>
      </c>
      <c r="H4" s="4">
        <f>MAX('3 Metrics'!$K$3:$K$12)-'3 Metrics'!K6</f>
        <v/>
      </c>
      <c r="I4" s="17">
        <f>C4+E4+G4</f>
        <v/>
      </c>
    </row>
    <row r="5">
      <c r="A5" s="5" t="inlineStr">
        <is>
          <t>AMD</t>
        </is>
      </c>
      <c r="B5" s="16">
        <f>'5 Scoring Model'!K5</f>
        <v/>
      </c>
      <c r="C5" s="5">
        <f>D5*('1 Raw Data'!B18/365)</f>
        <v/>
      </c>
      <c r="D5" s="5">
        <f>'3 Metrics'!H4-MIN('3 Metrics'!$H$3:$H$12)</f>
        <v/>
      </c>
      <c r="E5" s="5">
        <f>F5*('2 Average Balances'!E4/365)</f>
        <v/>
      </c>
      <c r="F5" s="5">
        <f>'3 Metrics'!J4-MIN('3 Metrics'!$J$3:$J$12)</f>
        <v/>
      </c>
      <c r="G5" s="5">
        <f>H5*('2 Average Balances'!E4/365)</f>
        <v/>
      </c>
      <c r="H5" s="5">
        <f>MAX('3 Metrics'!$K$3:$K$12)-'3 Metrics'!K4</f>
        <v/>
      </c>
      <c r="I5" s="17">
        <f>C5+E5+G5</f>
        <v/>
      </c>
    </row>
    <row r="6">
      <c r="A6" s="4" t="inlineStr">
        <is>
          <t>Micron</t>
        </is>
      </c>
      <c r="B6" s="16">
        <f>'5 Scoring Model'!K11</f>
        <v/>
      </c>
      <c r="C6" s="4">
        <f>D6*('1 Raw Data'!B24/365)</f>
        <v/>
      </c>
      <c r="D6" s="4">
        <f>'3 Metrics'!H10-MIN('3 Metrics'!$H$3:$H$12)</f>
        <v/>
      </c>
      <c r="E6" s="4">
        <f>F6*('2 Average Balances'!E10/365)</f>
        <v/>
      </c>
      <c r="F6" s="4">
        <f>'3 Metrics'!J10-MIN('3 Metrics'!$J$3:$J$12)</f>
        <v/>
      </c>
      <c r="G6" s="4">
        <f>H6*('2 Average Balances'!E10/365)</f>
        <v/>
      </c>
      <c r="H6" s="4">
        <f>MAX('3 Metrics'!$K$3:$K$12)-'3 Metrics'!K10</f>
        <v/>
      </c>
      <c r="I6" s="17">
        <f>C6+E6+G6</f>
        <v/>
      </c>
    </row>
    <row r="7">
      <c r="A7" s="5" t="inlineStr">
        <is>
          <t>STM</t>
        </is>
      </c>
      <c r="B7" s="8">
        <f>'5 Scoring Model'!K12</f>
        <v/>
      </c>
      <c r="C7" s="5">
        <f>D7*('1 Raw Data'!B25/365)</f>
        <v/>
      </c>
      <c r="D7" s="5">
        <f>'3 Metrics'!H11-MIN('3 Metrics'!$H$3:$H$12)</f>
        <v/>
      </c>
      <c r="E7" s="5">
        <f>F7*('2 Average Balances'!E11/365)</f>
        <v/>
      </c>
      <c r="F7" s="5">
        <f>'3 Metrics'!J11-MIN('3 Metrics'!$J$3:$J$12)</f>
        <v/>
      </c>
      <c r="G7" s="5">
        <f>H7*('2 Average Balances'!E11/365)</f>
        <v/>
      </c>
      <c r="H7" s="5">
        <f>MAX('3 Metrics'!$K$3:$K$12)-'3 Metrics'!K11</f>
        <v/>
      </c>
      <c r="I7" s="17">
        <f>C7+E7+G7</f>
        <v/>
      </c>
    </row>
    <row r="8">
      <c r="A8" s="4" t="inlineStr">
        <is>
          <t>Infineon</t>
        </is>
      </c>
      <c r="B8" s="8">
        <f>'5 Scoring Model'!K13</f>
        <v/>
      </c>
      <c r="C8" s="4">
        <f>D8*('1 Raw Data'!B26/365)</f>
        <v/>
      </c>
      <c r="D8" s="4">
        <f>'3 Metrics'!H12-MIN('3 Metrics'!$H$3:$H$12)</f>
        <v/>
      </c>
      <c r="E8" s="4">
        <f>F8*('2 Average Balances'!E12/365)</f>
        <v/>
      </c>
      <c r="F8" s="4">
        <f>'3 Metrics'!J12-MIN('3 Metrics'!$J$3:$J$12)</f>
        <v/>
      </c>
      <c r="G8" s="4">
        <f>H8*('2 Average Balances'!E12/365)</f>
        <v/>
      </c>
      <c r="H8" s="4">
        <f>MAX('3 Metrics'!$K$3:$K$12)-'3 Metrics'!K12</f>
        <v/>
      </c>
      <c r="I8" s="17">
        <f>C8+E8+G8</f>
        <v/>
      </c>
    </row>
    <row r="10">
      <c r="A10" s="18" t="inlineStr">
        <is>
          <t>⚠ NOTE: Cash release is realistically achievable over 12–24 months, subject to execution constraints. Micron's DIO improvement is partially market-dependent (memory cycle).</t>
        </is>
      </c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25" customWidth="1" min="3" max="3"/>
    <col width="35" customWidth="1" min="4" max="4"/>
    <col width="22" customWidth="1" min="5" max="5"/>
    <col width="25" customWidth="1" min="6" max="6"/>
    <col width="65" customWidth="1" min="7" max="7"/>
  </cols>
  <sheetData>
    <row r="1">
      <c r="A1" s="1" t="inlineStr">
        <is>
          <t>STEP 7 — NWC OPTIMIZATION STRATEGY  (Q3 &amp; Q4 companies)</t>
        </is>
      </c>
    </row>
    <row r="2">
      <c r="A2" s="3" t="inlineStr">
        <is>
          <t>Company</t>
        </is>
      </c>
      <c r="B2" s="3" t="inlineStr">
        <is>
          <t>Quartile</t>
        </is>
      </c>
      <c r="C2" s="3" t="inlineStr">
        <is>
          <t>Primary Problem</t>
        </is>
      </c>
      <c r="D2" s="3" t="inlineStr">
        <is>
          <t>Gap vs. Best-in-Class</t>
        </is>
      </c>
      <c r="E2" s="3" t="inlineStr">
        <is>
          <t>Secondary Problem</t>
        </is>
      </c>
      <c r="F2" s="3" t="inlineStr">
        <is>
          <t>Benchmark Peer</t>
        </is>
      </c>
      <c r="G2" s="3" t="inlineStr">
        <is>
          <t>Recommended Actions (3)</t>
        </is>
      </c>
    </row>
    <row r="3" ht="80" customHeight="1">
      <c r="A3" s="19" t="inlineStr">
        <is>
          <t>TXN</t>
        </is>
      </c>
      <c r="B3" s="20" t="inlineStr">
        <is>
          <t>Q3</t>
        </is>
      </c>
      <c r="C3" s="19" t="inlineStr">
        <is>
          <t>DIO = 218.70d (⚠ strategic build)</t>
        </is>
      </c>
      <c r="D3" s="19" t="inlineStr">
        <is>
          <t>DIO gap vs. Qualcomm: 164.42 days → $2,867M trapped</t>
        </is>
      </c>
      <c r="E3" s="19" t="inlineStr">
        <is>
          <t>DPO = 22.37d (lowest in group)</t>
        </is>
      </c>
      <c r="F3" s="19" t="inlineStr">
        <is>
          <t>Qualcomm (DIO &amp; DPO)</t>
        </is>
      </c>
      <c r="G3" s="19" t="inlineStr">
        <is>
          <t>1) Structured inventory normalisation over 4–6Q, shift to build-to-order for low-velocity SKUs
2) Negotiate extended supplier payment terms to 45–60d via reverse-factoring (Taulia/C2FO)
3) VMI/consignment programmes with Arrow &amp; Avnet to shift buffer inventory off-balance-sheet</t>
        </is>
      </c>
    </row>
    <row r="4" ht="80" customHeight="1">
      <c r="A4" s="21" t="inlineStr">
        <is>
          <t>AMD</t>
        </is>
      </c>
      <c r="B4" s="20" t="inlineStr">
        <is>
          <t>Q3</t>
        </is>
      </c>
      <c r="C4" s="21" t="inlineStr">
        <is>
          <t>DSO = 60.59d</t>
        </is>
      </c>
      <c r="D4" s="21" t="inlineStr">
        <is>
          <t>DSO gap vs. Intel: 25.09 days → $1,773M trapped</t>
        </is>
      </c>
      <c r="E4" s="21" t="inlineStr">
        <is>
          <t>DPO = 44.29d</t>
        </is>
      </c>
      <c r="F4" s="21" t="inlineStr">
        <is>
          <t>Intel (DSO); Qualcomm (DPO)</t>
        </is>
      </c>
      <c r="G4" s="21" t="inlineStr">
        <is>
          <t>1) Tighten distribution credit terms; enforce net-30/45 max; accelerate invoicing on shipment
2) Deploy reverse-factoring for TSMC/OSAT suppliers to extend DPO from ~44d to 65–70d
3) Benchmark AR ageing vs. Intel; implement e-invoicing + automated dunning platform</t>
        </is>
      </c>
    </row>
    <row r="5" ht="80" customHeight="1">
      <c r="A5" s="19" t="inlineStr">
        <is>
          <t>Micron</t>
        </is>
      </c>
      <c r="B5" s="20" t="inlineStr">
        <is>
          <t>Q3</t>
        </is>
      </c>
      <c r="C5" s="19" t="inlineStr">
        <is>
          <t>DIO = 165.43d (⚠ memory cycle)</t>
        </is>
      </c>
      <c r="D5" s="19" t="inlineStr">
        <is>
          <t>DIO gap vs. Qualcomm: 111.15 days → $5,615M (vs. IDM peer NXP: 45d → $2,284M)</t>
        </is>
      </c>
      <c r="E5" s="19" t="inlineStr">
        <is>
          <t>DPO = 38.73d (lowest IDM)</t>
        </is>
      </c>
      <c r="F5" s="19" t="inlineStr">
        <is>
          <t>NXP/STM (DIO – IDM peers); Qualcomm (cap rule per methodology)</t>
        </is>
      </c>
      <c r="G5" s="19" t="inlineStr">
        <is>
          <t>1) Align bit-production caps to DRAM/NAND spot-price indices + customer PO visibility
2) Long-term supply agreements with hyperscalers (AWS, Google, Microsoft) for HBM3/DDR5
3) Leverage capex scale ($8–12B/yr) to extend supplier payment terms from ~39d to 55–65d</t>
        </is>
      </c>
    </row>
    <row r="6" ht="80" customHeight="1">
      <c r="A6" s="21" t="inlineStr">
        <is>
          <t>STM</t>
        </is>
      </c>
      <c r="B6" s="22" t="inlineStr">
        <is>
          <t>Q4</t>
        </is>
      </c>
      <c r="C6" s="21" t="inlineStr">
        <is>
          <t>DSO = 63.43d</t>
        </is>
      </c>
      <c r="D6" s="21" t="inlineStr">
        <is>
          <t>DSO gap vs. Intel: 27.93 days → $1,016M</t>
        </is>
      </c>
      <c r="E6" s="21" t="inlineStr">
        <is>
          <t>DIO = 121.10d</t>
        </is>
      </c>
      <c r="F6" s="21" t="inlineStr">
        <is>
          <t>NXP (overall NWC); Intel (DSO target)</t>
        </is>
      </c>
      <c r="G6" s="21" t="inlineStr">
        <is>
          <t>1) Implement AR factoring / SCF for European automotive OEM receivables (BNP Paribas/Santander)
2) SKU rationalisation + consignment programmes with Mouser/Digi-Key for legacy inventory
3) Early-payment incentive (1–2% discount for &lt;15d payment) for Tier-1 automotive customers</t>
        </is>
      </c>
    </row>
    <row r="7" ht="80" customHeight="1">
      <c r="A7" s="19" t="inlineStr">
        <is>
          <t>Infineon</t>
        </is>
      </c>
      <c r="B7" s="22" t="inlineStr">
        <is>
          <t>Q4</t>
        </is>
      </c>
      <c r="C7" s="19" t="inlineStr">
        <is>
          <t>DIO = 243.74d (⚠ auto inventory crisis)</t>
        </is>
      </c>
      <c r="D7" s="19" t="inlineStr">
        <is>
          <t>DIO gap vs. Qualcomm: 189.46 days → $2,557M; target 140–160d within 18 months</t>
        </is>
      </c>
      <c r="E7" s="19" t="inlineStr">
        <is>
          <t>DSO = 70.97d (highest in group)</t>
        </is>
      </c>
      <c r="F7" s="19" t="inlineStr">
        <is>
          <t>NXP (overall); Intel (DSO target ~50–55d realistic)</t>
        </is>
      </c>
      <c r="G7" s="19" t="inlineStr">
        <is>
          <t>1) Fab utilisation throttling for IGBT/SiC; demand-pull model; accept short-term underabsorption
2) VMI/consignment with Bosch, Continental, ZF for automotive programme inventory
3) Pan-European reverse-factoring platform for 200+ suppliers; extend DPO from 74d to 85–90d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  <col width="45" customWidth="1" min="4" max="4"/>
  </cols>
  <sheetData>
    <row r="1">
      <c r="A1" s="1" t="inlineStr">
        <is>
          <t>STEP 8 — BUSINESS MODEL COMMENTARY</t>
        </is>
      </c>
    </row>
    <row r="2" ht="25" customHeight="1">
      <c r="A2" s="23" t="inlineStr">
        <is>
          <t>8.1 — Fabless vs. Foundry vs. IDM</t>
        </is>
      </c>
      <c r="B2" s="27" t="n"/>
      <c r="C2" s="27" t="n"/>
      <c r="D2" s="28" t="n"/>
    </row>
    <row r="3" ht="18" customHeight="1">
      <c r="A3" s="24" t="inlineStr">
        <is>
          <t>Fabless (NVIDIA, AMD, Qualcomm)</t>
        </is>
      </c>
      <c r="B3" s="27" t="n"/>
      <c r="C3" s="27" t="n"/>
      <c r="D3" s="28" t="n"/>
    </row>
    <row r="4" ht="18" customHeight="1">
      <c r="A4" s="19" t="inlineStr">
        <is>
          <t>• No manufacturing assets. Production outsourced to TSMC/Samsung/GlobalFoundries.</t>
        </is>
      </c>
      <c r="B4" s="27" t="n"/>
      <c r="C4" s="27" t="n"/>
      <c r="D4" s="28" t="n"/>
    </row>
    <row r="5" ht="18" customHeight="1">
      <c r="A5" s="19" t="inlineStr">
        <is>
          <t>• Inventory = finished goods only (at 3PL). No raw materials or WIP at own facilities.</t>
        </is>
      </c>
      <c r="B5" s="27" t="n"/>
      <c r="C5" s="27" t="n"/>
      <c r="D5" s="28" t="n"/>
    </row>
    <row r="6" ht="18" customHeight="1">
      <c r="A6" s="19" t="inlineStr">
        <is>
          <t>• DIO range: 54–77 days — lowest in peer group.</t>
        </is>
      </c>
      <c r="B6" s="27" t="n"/>
      <c r="C6" s="27" t="n"/>
      <c r="D6" s="28" t="n"/>
    </row>
    <row r="7" ht="18" customHeight="1">
      <c r="A7" s="19" t="inlineStr">
        <is>
          <t>• DPO constrained by TSMC pricing power; Qualcomm (88d DPO) is best achievable at scale.</t>
        </is>
      </c>
      <c r="B7" s="27" t="n"/>
      <c r="C7" s="27" t="n"/>
      <c r="D7" s="28" t="n"/>
    </row>
    <row r="8" ht="18" customHeight="1">
      <c r="A8" s="19" t="inlineStr">
        <is>
          <t>• CCC structurally 80–160 days lower than IDMs due to absence of manufacturing WIP.</t>
        </is>
      </c>
      <c r="B8" s="27" t="n"/>
      <c r="C8" s="27" t="n"/>
      <c r="D8" s="28" t="n"/>
    </row>
    <row r="9" ht="18" customHeight="1">
      <c r="A9" s="24" t="inlineStr">
        <is>
          <t>Foundry (TSMC)</t>
        </is>
      </c>
      <c r="B9" s="27" t="n"/>
      <c r="C9" s="27" t="n"/>
      <c r="D9" s="28" t="n"/>
    </row>
    <row r="10" ht="18" customHeight="1">
      <c r="A10" s="19" t="inlineStr">
        <is>
          <t>• Pure contract manufacturer. Inventory = entirely WIP (8–12 week fab cycle on N3/N5/N7).</t>
        </is>
      </c>
      <c r="B10" s="27" t="n"/>
      <c r="C10" s="27" t="n"/>
      <c r="D10" s="28" t="n"/>
    </row>
    <row r="11" ht="18" customHeight="1">
      <c r="A11" s="19" t="inlineStr">
        <is>
          <t>• DIO 137 days reflects physical wafer processing time — structurally unavoidable.</t>
        </is>
      </c>
      <c r="B11" s="27" t="n"/>
      <c r="C11" s="27" t="n"/>
      <c r="D11" s="28" t="n"/>
    </row>
    <row r="12" ht="18" customHeight="1">
      <c r="A12" s="19" t="inlineStr">
        <is>
          <t>• OCF/Revenue = 62% (CRR best in group) driven by $20–25B annual D&amp;A add-back + pricing power.</t>
        </is>
      </c>
      <c r="B12" s="27" t="n"/>
      <c r="C12" s="27" t="n"/>
      <c r="D12" s="28" t="n"/>
    </row>
    <row r="13" ht="18" customHeight="1">
      <c r="A13" s="24" t="inlineStr">
        <is>
          <t>IDMs (Intel, Micron, Infineon, STM, TXN, NXP)</t>
        </is>
      </c>
      <c r="B13" s="27" t="n"/>
      <c r="C13" s="27" t="n"/>
      <c r="D13" s="28" t="n"/>
    </row>
    <row r="14" ht="18" customHeight="1">
      <c r="A14" s="19" t="inlineStr">
        <is>
          <t>• Full vertical integration: raw materials → WIP (weeks/months in fab) → finished goods.</t>
        </is>
      </c>
      <c r="B14" s="27" t="n"/>
      <c r="C14" s="27" t="n"/>
      <c r="D14" s="28" t="n"/>
    </row>
    <row r="15" ht="18" customHeight="1">
      <c r="A15" s="19" t="inlineStr">
        <is>
          <t>• DIO ranges 120–244 days — 2–4× higher than fabless peers. Structural, not operational.</t>
        </is>
      </c>
      <c r="B15" s="27" t="n"/>
      <c r="C15" s="27" t="n"/>
      <c r="D15" s="28" t="n"/>
    </row>
    <row r="16" ht="18" customHeight="1">
      <c r="A16" s="19" t="inlineStr">
        <is>
          <t>• Best IDM: NXP (DIO 120d, CCC 100d) — lean footprint, strong DPO, diversified customers.</t>
        </is>
      </c>
      <c r="B16" s="27" t="n"/>
      <c r="C16" s="27" t="n"/>
      <c r="D16" s="28" t="n"/>
    </row>
    <row r="17" ht="25" customHeight="1">
      <c r="A17" s="23" t="inlineStr">
        <is>
          <t>8.2 — Outsourced vs. In-House Manufacturing</t>
        </is>
      </c>
      <c r="B17" s="27" t="n"/>
      <c r="C17" s="27" t="n"/>
      <c r="D17" s="28" t="n"/>
    </row>
    <row r="18" ht="18" customHeight="1">
      <c r="A18" s="24" t="inlineStr">
        <is>
          <t>Fab Model</t>
        </is>
      </c>
      <c r="B18" s="27" t="n"/>
      <c r="C18" s="27" t="n"/>
      <c r="D18" s="28" t="n"/>
    </row>
    <row r="19" ht="18" customHeight="1">
      <c r="A19" s="19" t="inlineStr">
        <is>
          <t>Pure fabless</t>
        </is>
      </c>
      <c r="B19" s="27" t="n"/>
      <c r="C19" s="27" t="n"/>
      <c r="D19" s="28" t="n"/>
    </row>
    <row r="20" ht="18" customHeight="1">
      <c r="A20" s="19" t="inlineStr">
        <is>
          <t>Asset-light IDM (NXP)</t>
        </is>
      </c>
      <c r="B20" s="27" t="n"/>
      <c r="C20" s="27" t="n"/>
      <c r="D20" s="28" t="n"/>
    </row>
    <row r="21" ht="18" customHeight="1">
      <c r="A21" s="19" t="inlineStr">
        <is>
          <t>Full IDM – mature node</t>
        </is>
      </c>
      <c r="B21" s="27" t="n"/>
      <c r="C21" s="27" t="n"/>
      <c r="D21" s="28" t="n"/>
    </row>
    <row r="22" ht="18" customHeight="1">
      <c r="A22" s="19" t="inlineStr">
        <is>
          <t>Full IDM – advanced/memory</t>
        </is>
      </c>
      <c r="B22" s="27" t="n"/>
      <c r="C22" s="27" t="n"/>
      <c r="D22" s="28" t="n"/>
    </row>
    <row r="23" ht="18" customHeight="1">
      <c r="A23" s="19" t="inlineStr">
        <is>
          <t>Pure foundry</t>
        </is>
      </c>
      <c r="B23" s="27" t="n"/>
      <c r="C23" s="27" t="n"/>
      <c r="D23" s="28" t="n"/>
    </row>
    <row r="24" ht="25" customHeight="1">
      <c r="A24" s="23" t="inlineStr">
        <is>
          <t>8.3 — Memory Cyclicality (Micron)</t>
        </is>
      </c>
      <c r="B24" s="27" t="n"/>
      <c r="C24" s="27" t="n"/>
      <c r="D24" s="28" t="n"/>
    </row>
    <row r="25" ht="18" customHeight="1">
      <c r="A25" s="19" t="inlineStr">
        <is>
          <t>• DRAM/NAND prices fell 50–80% in 2022–2023 trough. Micron FY2023 gross profit = −$1,906M.</t>
        </is>
      </c>
      <c r="B25" s="27" t="n"/>
      <c r="C25" s="27" t="n"/>
      <c r="D25" s="28" t="n"/>
    </row>
    <row r="26" ht="18" customHeight="1">
      <c r="A26" s="19" t="inlineStr">
        <is>
          <t>• DIO inflated by underabsorption (fixed fab costs / fewer units) + price deflation.</t>
        </is>
      </c>
      <c r="B26" s="27" t="n"/>
      <c r="C26" s="27" t="n"/>
      <c r="D26" s="28" t="n"/>
    </row>
    <row r="27" ht="18" customHeight="1">
      <c r="A27" s="19" t="inlineStr">
        <is>
          <t>• Point-in-time DIO for Micron is unreliable; evaluate over a full 3–5 year DRAM price cycle.</t>
        </is>
      </c>
      <c r="B27" s="27" t="n"/>
      <c r="C27" s="27" t="n"/>
      <c r="D27" s="28" t="n"/>
    </row>
    <row r="28" ht="18" customHeight="1">
      <c r="A28" s="19" t="inlineStr">
        <is>
          <t>• Avg COGS = $18,443M (blending trough FY23 + recovery FY24) — partially normalises distortion.</t>
        </is>
      </c>
      <c r="B28" s="27" t="n"/>
      <c r="C28" s="27" t="n"/>
      <c r="D28" s="28" t="n"/>
    </row>
    <row r="29" ht="25" customHeight="1">
      <c r="A29" s="23" t="inlineStr">
        <is>
          <t>8.4 — Why Negative CCC is Rare in Semiconductors</t>
        </is>
      </c>
      <c r="B29" s="27" t="n"/>
      <c r="C29" s="27" t="n"/>
      <c r="D29" s="28" t="n"/>
    </row>
    <row r="30" ht="18" customHeight="1">
      <c r="A30" s="19" t="inlineStr">
        <is>
          <t>• Negative CCC requires DPO &gt; DSO + DIO. Classic example: Dell (1990s), Amazon retail.</t>
        </is>
      </c>
      <c r="B30" s="27" t="n"/>
      <c r="C30" s="27" t="n"/>
      <c r="D30" s="28" t="n"/>
    </row>
    <row r="31" ht="18" customHeight="1">
      <c r="A31" s="19" t="inlineStr">
        <is>
          <t>• Even Qualcomm (CCC = 22.11d — group best) cannot reach negative CCC because:</t>
        </is>
      </c>
      <c r="B31" s="27" t="n"/>
      <c r="C31" s="27" t="n"/>
      <c r="D31" s="28" t="n"/>
    </row>
    <row r="32" ht="18" customHeight="1">
      <c r="A32" s="19" t="inlineStr">
        <is>
          <t xml:space="preserve">  (a) Safety stock inventory required for service levels (automotive safety, HPC spikes).</t>
        </is>
      </c>
      <c r="B32" s="27" t="n"/>
      <c r="C32" s="27" t="n"/>
      <c r="D32" s="28" t="n"/>
    </row>
    <row r="33" ht="18" customHeight="1">
      <c r="A33" s="19" t="inlineStr">
        <is>
          <t xml:space="preserve">  (b) TSMC/OSAT suppliers have pricing power — DPO cannot be pushed above 90+ days.</t>
        </is>
      </c>
      <c r="B33" s="27" t="n"/>
      <c r="C33" s="27" t="n"/>
      <c r="D33" s="28" t="n"/>
    </row>
    <row r="34" ht="18" customHeight="1">
      <c r="A34" s="19" t="inlineStr">
        <is>
          <t xml:space="preserve">  (c) Enterprise/OEM customers pay in 30–60 days (not instantly like consumers).</t>
        </is>
      </c>
      <c r="B34" s="27" t="n"/>
      <c r="C34" s="27" t="n"/>
      <c r="D34" s="28" t="n"/>
    </row>
    <row r="35" ht="18" customHeight="1">
      <c r="A35" s="19" t="inlineStr">
        <is>
          <t>• A negative CCC signals dominant market power that lets a company finance itself from supply chain.</t>
        </is>
      </c>
      <c r="B35" s="27" t="n"/>
      <c r="C35" s="27" t="n"/>
      <c r="D35" s="28" t="n"/>
    </row>
    <row r="36" ht="25" customHeight="1">
      <c r="A36" s="23" t="inlineStr">
        <is>
          <t>8.5 — US GAAP vs. IFRS Comparability</t>
        </is>
      </c>
      <c r="B36" s="27" t="n"/>
      <c r="C36" s="27" t="n"/>
      <c r="D36" s="28" t="n"/>
    </row>
    <row r="37" ht="18" customHeight="1">
      <c r="A37" s="19" t="inlineStr">
        <is>
          <t>T</t>
        </is>
      </c>
      <c r="B37" s="27" t="n"/>
      <c r="C37" s="27" t="n"/>
      <c r="D37" s="28" t="n"/>
    </row>
    <row r="38" ht="18" customHeight="1">
      <c r="A38" s="19" t="inlineStr">
        <is>
          <t>I</t>
        </is>
      </c>
      <c r="B38" s="27" t="n"/>
      <c r="C38" s="27" t="n"/>
      <c r="D38" s="28" t="n"/>
    </row>
    <row r="39" ht="18" customHeight="1">
      <c r="A39" s="19" t="inlineStr">
        <is>
          <t>I</t>
        </is>
      </c>
      <c r="B39" s="27" t="n"/>
      <c r="C39" s="27" t="n"/>
      <c r="D39" s="28" t="n"/>
    </row>
    <row r="40" ht="18" customHeight="1">
      <c r="A40" s="19" t="inlineStr">
        <is>
          <t>R</t>
        </is>
      </c>
      <c r="B40" s="27" t="n"/>
      <c r="C40" s="27" t="n"/>
      <c r="D40" s="28" t="n"/>
    </row>
    <row r="41" ht="18" customHeight="1">
      <c r="A41" s="19" t="inlineStr">
        <is>
          <t>R</t>
        </is>
      </c>
      <c r="B41" s="27" t="n"/>
      <c r="C41" s="27" t="n"/>
      <c r="D41" s="28" t="n"/>
    </row>
    <row r="42" ht="18" customHeight="1">
      <c r="A42" s="19" t="inlineStr">
        <is>
          <t>Overall GAAP/IFRS verdict: Not material for this analysis. Trade working capital items treated similarly under both standards.</t>
        </is>
      </c>
      <c r="B42" s="27" t="n"/>
      <c r="C42" s="27" t="n"/>
      <c r="D42" s="28" t="n"/>
    </row>
    <row r="43" ht="25" customHeight="1">
      <c r="A43" s="23" t="inlineStr">
        <is>
          <t>8.6 — Fiscal Year-End Differences</t>
        </is>
      </c>
      <c r="B43" s="27" t="n"/>
      <c r="C43" s="27" t="n"/>
      <c r="D43" s="28" t="n"/>
    </row>
    <row r="44" ht="18" customHeight="1">
      <c r="A44" s="19" t="inlineStr">
        <is>
          <t>C</t>
        </is>
      </c>
      <c r="B44" s="27" t="n"/>
      <c r="C44" s="27" t="n"/>
      <c r="D44" s="28" t="n"/>
    </row>
    <row r="45" ht="18" customHeight="1">
      <c r="A45" s="19" t="inlineStr">
        <is>
          <t>N</t>
        </is>
      </c>
      <c r="B45" s="27" t="n"/>
      <c r="C45" s="27" t="n"/>
      <c r="D45" s="28" t="n"/>
    </row>
    <row r="46" ht="18" customHeight="1">
      <c r="A46" s="19" t="inlineStr">
        <is>
          <t>Q</t>
        </is>
      </c>
      <c r="B46" s="27" t="n"/>
      <c r="C46" s="27" t="n"/>
      <c r="D46" s="28" t="n"/>
    </row>
    <row r="47" ht="18" customHeight="1">
      <c r="A47" s="19" t="inlineStr">
        <is>
          <t>I</t>
        </is>
      </c>
      <c r="B47" s="27" t="n"/>
      <c r="C47" s="27" t="n"/>
      <c r="D47" s="28" t="n"/>
    </row>
    <row r="48" ht="18" customHeight="1">
      <c r="A48" s="19" t="inlineStr">
        <is>
          <t>M</t>
        </is>
      </c>
      <c r="B48" s="27" t="n"/>
      <c r="C48" s="27" t="n"/>
      <c r="D48" s="28" t="n"/>
    </row>
    <row r="49" ht="25" customHeight="1">
      <c r="A49" s="23" t="inlineStr">
        <is>
          <t>8.7 — Overall Verdict: Is This a Fair Peer Group?</t>
        </is>
      </c>
      <c r="B49" s="27" t="n"/>
      <c r="C49" s="27" t="n"/>
      <c r="D49" s="28" t="n"/>
    </row>
    <row r="50" ht="18" customHeight="1">
      <c r="A50" s="19" t="inlineStr">
        <is>
          <t>Partially fair. Key limitations:</t>
        </is>
      </c>
      <c r="B50" s="27" t="n"/>
      <c r="C50" s="27" t="n"/>
      <c r="D50" s="28" t="n"/>
    </row>
    <row r="51" ht="18" customHeight="1">
      <c r="A51" s="19" t="inlineStr">
        <is>
          <t>1. Business model heterogeneity: Fabless vs. IDM DIO gap is a model artefact, not management performance.</t>
        </is>
      </c>
      <c r="B51" s="27" t="n"/>
      <c r="C51" s="27" t="n"/>
      <c r="D51" s="28" t="n"/>
    </row>
    <row r="52" ht="18" customHeight="1">
      <c r="A52" s="19" t="inlineStr">
        <is>
          <t>2. Revenue scale differences: NVIDIA 114% YoY growth compresses DSO/AR Turns mechanically.</t>
        </is>
      </c>
      <c r="B52" s="27" t="n"/>
      <c r="C52" s="27" t="n"/>
      <c r="D52" s="28" t="n"/>
    </row>
    <row r="53" ht="18" customHeight="1">
      <c r="A53" s="19" t="inlineStr">
        <is>
          <t>3. Cycle position mismatch: NVIDIA/TSMC in AI upswing vs. Intel/STM/Infineon/TXN in downcycle.</t>
        </is>
      </c>
      <c r="B53" s="27" t="n"/>
      <c r="C53" s="27" t="n"/>
      <c r="D53" s="28" t="n"/>
    </row>
    <row r="54" ht="18" customHeight="1">
      <c r="A54" s="19" t="inlineStr">
        <is>
          <t>4. Currency translation noise: TSMC (TWD) and Infineon (EUR) add FX approximation error.</t>
        </is>
      </c>
      <c r="B54" s="27" t="n"/>
      <c r="C54" s="27" t="n"/>
      <c r="D54" s="28" t="n"/>
    </row>
    <row r="55" ht="18" customHeight="1">
      <c r="A55" s="19" t="inlineStr">
        <is>
          <t>5. Despite limitations, the group is academically valid: same end-markets, customers, input costs, full model spectrum.</t>
        </is>
      </c>
      <c r="B55" s="27" t="n"/>
      <c r="C55" s="27" t="n"/>
      <c r="D55" s="28" t="n"/>
    </row>
  </sheetData>
  <mergeCells count="55">
    <mergeCell ref="A5:D5"/>
    <mergeCell ref="A17:D17"/>
    <mergeCell ref="A23:D23"/>
    <mergeCell ref="A8:D8"/>
    <mergeCell ref="A22:D22"/>
    <mergeCell ref="A53:D53"/>
    <mergeCell ref="A35:D35"/>
    <mergeCell ref="A4:D4"/>
    <mergeCell ref="A20:D20"/>
    <mergeCell ref="A38:D38"/>
    <mergeCell ref="A29:D29"/>
    <mergeCell ref="A52:D52"/>
    <mergeCell ref="A43:D43"/>
    <mergeCell ref="A19:D19"/>
    <mergeCell ref="A10:D10"/>
    <mergeCell ref="A28:D28"/>
    <mergeCell ref="A13:D13"/>
    <mergeCell ref="A44:D44"/>
    <mergeCell ref="A40:D40"/>
    <mergeCell ref="A9:D9"/>
    <mergeCell ref="A31:D31"/>
    <mergeCell ref="A34:D34"/>
    <mergeCell ref="A48:D48"/>
    <mergeCell ref="A30:D30"/>
    <mergeCell ref="A39:D39"/>
    <mergeCell ref="A15:D15"/>
    <mergeCell ref="A24:D24"/>
    <mergeCell ref="A11:D11"/>
    <mergeCell ref="A49:D49"/>
    <mergeCell ref="A51:D51"/>
    <mergeCell ref="A36:D36"/>
    <mergeCell ref="A1:D1"/>
    <mergeCell ref="A45:D45"/>
    <mergeCell ref="A6:D6"/>
    <mergeCell ref="A54:D54"/>
    <mergeCell ref="A7:D7"/>
    <mergeCell ref="A25:D25"/>
    <mergeCell ref="A41:D41"/>
    <mergeCell ref="A16:D16"/>
    <mergeCell ref="A46:D46"/>
    <mergeCell ref="A37:D37"/>
    <mergeCell ref="A18:D18"/>
    <mergeCell ref="A27:D27"/>
    <mergeCell ref="A12:D12"/>
    <mergeCell ref="A50:D50"/>
    <mergeCell ref="A3:D3"/>
    <mergeCell ref="A21:D21"/>
    <mergeCell ref="A26:D26"/>
    <mergeCell ref="A55:D55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0" customWidth="1" min="4" max="4"/>
    <col width="14" customWidth="1" min="5" max="5"/>
    <col width="65" customWidth="1" min="6" max="6"/>
  </cols>
  <sheetData>
    <row r="1">
      <c r="A1" s="1" t="inlineStr">
        <is>
          <t>STEP 9 — KEY INSIGHTS SUMMARY TABLE</t>
        </is>
      </c>
    </row>
    <row r="2">
      <c r="A2" s="3" t="inlineStr">
        <is>
          <t>Metric</t>
        </is>
      </c>
      <c r="B2" s="3" t="inlineStr">
        <is>
          <t>Best Company</t>
        </is>
      </c>
      <c r="C2" s="3" t="inlineStr">
        <is>
          <t>Best Value</t>
        </is>
      </c>
      <c r="D2" s="3" t="inlineStr">
        <is>
          <t>Worst Company</t>
        </is>
      </c>
      <c r="E2" s="3" t="inlineStr">
        <is>
          <t>Worst Value</t>
        </is>
      </c>
      <c r="F2" s="3" t="inlineStr">
        <is>
          <t>One-Line Reason</t>
        </is>
      </c>
    </row>
    <row r="3" ht="30" customHeight="1">
      <c r="A3" s="4" t="inlineStr">
        <is>
          <t>DSO</t>
        </is>
      </c>
      <c r="B3" s="13">
        <f>INDEX('3 Metrics'!$A$3:$A$12,MATCH(MIN('3 Metrics'!$H$3:$H$12),'3 Metrics'!$H$3:$H$12,0))</f>
        <v/>
      </c>
      <c r="C3" s="4">
        <f>TEXT(MIN('3 Metrics'!$H$3:$H$12),"0.00")&amp;" days"</f>
        <v/>
      </c>
      <c r="D3" s="12">
        <f>INDEX('3 Metrics'!$A$3:$A$12,MATCH(MAX('3 Metrics'!$H$3:$H$12),'3 Metrics'!$H$3:$H$12,0))</f>
        <v/>
      </c>
      <c r="E3" s="25">
        <f>TEXT(MAX('3 Metrics'!$H$3:$H$12),"0.00")&amp;" days"</f>
        <v/>
      </c>
      <c r="F3" s="25" t="inlineStr">
        <is>
          <t>Intel's hyperscaler/enterprise customers pay quickly; Infineon's automotive OEMs demand long credit terms</t>
        </is>
      </c>
    </row>
    <row r="4" ht="30" customHeight="1">
      <c r="A4" s="5" t="inlineStr">
        <is>
          <t>AR Turns</t>
        </is>
      </c>
      <c r="B4" s="13">
        <f>INDEX('3 Metrics'!$A$3:$A$12,MATCH(MAX('3 Metrics'!$I$3:$I$12),'3 Metrics'!$I$3:$I$12,0))</f>
        <v/>
      </c>
      <c r="C4" s="5">
        <f>TEXT(MAX('3 Metrics'!$I$3:$I$12),"0.00")&amp;"×"</f>
        <v/>
      </c>
      <c r="D4" s="12">
        <f>INDEX('3 Metrics'!$A$3:$A$12,MATCH(MIN('3 Metrics'!$I$3:$I$12),'3 Metrics'!$I$3:$I$12,0))</f>
        <v/>
      </c>
      <c r="E4" s="26">
        <f>TEXT(MIN('3 Metrics'!$I$3:$I$12),"0.00")&amp;"×"</f>
        <v/>
      </c>
      <c r="F4" s="26" t="inlineStr">
        <is>
          <t>Mirror of DSO: Intel collects receivables ~2× faster than Infineon on a revenue-adjusted basis</t>
        </is>
      </c>
    </row>
    <row r="5" ht="30" customHeight="1">
      <c r="A5" s="4" t="inlineStr">
        <is>
          <t>DIO</t>
        </is>
      </c>
      <c r="B5" s="13">
        <f>INDEX('3 Metrics'!$A$3:$A$12,MATCH(MIN('3 Metrics'!$J$3:$J$12),'3 Metrics'!$J$3:$J$12,0))</f>
        <v/>
      </c>
      <c r="C5" s="4">
        <f>TEXT(MIN('3 Metrics'!$J$3:$J$12),"0.00")&amp;" days"</f>
        <v/>
      </c>
      <c r="D5" s="12">
        <f>INDEX('3 Metrics'!$A$3:$A$12,MATCH(MAX('3 Metrics'!$J$3:$J$12),'3 Metrics'!$J$3:$J$12,0))</f>
        <v/>
      </c>
      <c r="E5" s="25">
        <f>TEXT(MAX('3 Metrics'!$J$3:$J$12),"0.00")&amp;" days"</f>
        <v/>
      </c>
      <c r="F5" s="25" t="inlineStr">
        <is>
          <t>Fabless Qualcomm holds zero WIP; Infineon carries 40+ weeks of IDM inventory during auto demand collapse</t>
        </is>
      </c>
    </row>
    <row r="6" ht="30" customHeight="1">
      <c r="A6" s="5" t="inlineStr">
        <is>
          <t>DPO</t>
        </is>
      </c>
      <c r="B6" s="13">
        <f>INDEX('3 Metrics'!$A$3:$A$12,MATCH(MAX('3 Metrics'!$K$3:$K$12),'3 Metrics'!$K$3:$K$12,0))</f>
        <v/>
      </c>
      <c r="C6" s="5">
        <f>TEXT(MAX('3 Metrics'!$K$3:$K$12),"0.00")&amp;" days"</f>
        <v/>
      </c>
      <c r="D6" s="12">
        <f>INDEX('3 Metrics'!$A$3:$A$12,MATCH(MIN('3 Metrics'!$K$3:$K$12),'3 Metrics'!$K$3:$K$12,0))</f>
        <v/>
      </c>
      <c r="E6" s="26">
        <f>TEXT(MIN('3 Metrics'!$K$3:$K$12),"0.00")&amp;" days"</f>
        <v/>
      </c>
      <c r="F6" s="26" t="inlineStr">
        <is>
          <t>Qualcomm leverages TSMC/foundry scale for 88-day terms; TXN's IDM model generates fewer external payables</t>
        </is>
      </c>
    </row>
    <row r="7" ht="30" customHeight="1">
      <c r="A7" s="4" t="inlineStr">
        <is>
          <t>CCC</t>
        </is>
      </c>
      <c r="B7" s="13">
        <f>INDEX('3 Metrics'!$A$3:$A$12,MATCH(MIN('3 Metrics'!$L$3:$L$12),'3 Metrics'!$L$3:$L$12,0))</f>
        <v/>
      </c>
      <c r="C7" s="4">
        <f>TEXT(MIN('3 Metrics'!$L$3:$L$12),"0.00")&amp;" days"</f>
        <v/>
      </c>
      <c r="D7" s="12">
        <f>INDEX('3 Metrics'!$A$3:$A$12,MATCH(MAX('3 Metrics'!$L$3:$L$12),'3 Metrics'!$L$3:$L$12,0))</f>
        <v/>
      </c>
      <c r="E7" s="25">
        <f>TEXT(MAX('3 Metrics'!$L$3:$L$12),"0.00")&amp;" days"</f>
        <v/>
      </c>
      <c r="F7" s="25" t="inlineStr">
        <is>
          <t>Qualcomm's fabless model + highest DPO nearly offsets DSO+DIO; Infineon's bloated inventory locks cash for 240+ days</t>
        </is>
      </c>
    </row>
    <row r="8" ht="30" customHeight="1">
      <c r="A8" s="5" t="inlineStr">
        <is>
          <t>CRR</t>
        </is>
      </c>
      <c r="B8" s="13">
        <f>INDEX('3 Metrics'!$A$3:$A$12,MATCH(MAX('3 Metrics'!$M$3:$M$12),'3 Metrics'!$M$3:$M$12,0))</f>
        <v/>
      </c>
      <c r="C8" s="5">
        <f>TEXT(MAX('3 Metrics'!$M$3:$M$12),"0.00")&amp;"%"</f>
        <v/>
      </c>
      <c r="D8" s="12">
        <f>INDEX('3 Metrics'!$A$3:$A$12,MATCH(MIN('3 Metrics'!$M$3:$M$12),'3 Metrics'!$M$3:$M$12,0))</f>
        <v/>
      </c>
      <c r="E8" s="26">
        <f>TEXT(MIN('3 Metrics'!$M$3:$M$12),"0.00")&amp;"%"</f>
        <v/>
      </c>
      <c r="F8" s="26" t="inlineStr">
        <is>
          <t>TSMC adds back $20–25B D&amp;A for exceptional OCF; AMD's R&amp;D/SG&amp;A reinvestment limits OCF conversion</t>
        </is>
      </c>
    </row>
    <row r="9" ht="30" customHeight="1">
      <c r="A9" s="4" t="inlineStr">
        <is>
          <t>Operating NWC (absolute)</t>
        </is>
      </c>
      <c r="B9" s="13">
        <f>INDEX('3 Metrics'!$A$3:$A$12,MATCH(MIN('3 Metrics'!$D$3:$D$12),'3 Metrics'!$D$3:$D$12,0))</f>
        <v/>
      </c>
      <c r="C9" s="4">
        <f>"$"&amp;TEXT(MIN('3 Metrics'!$D$3:$D$12),"#,##0")&amp;"M"</f>
        <v/>
      </c>
      <c r="D9" s="12">
        <f>INDEX('3 Metrics'!$A$3:$A$12,MATCH(MAX('3 Metrics'!$D$3:$D$12),'3 Metrics'!$D$3:$D$12,0))</f>
        <v/>
      </c>
      <c r="E9" s="25">
        <f>"$"&amp;TEXT(MAX('3 Metrics'!$D$3:$D$12),"#,##0")&amp;"M"</f>
        <v/>
      </c>
      <c r="F9" s="25" t="inlineStr">
        <is>
          <t>NXP is smallest-revenue IDM with tight WC; TSMC's foundry WIP inventory dominates balance sheet</t>
        </is>
      </c>
    </row>
    <row r="10" ht="30" customHeight="1">
      <c r="A10" s="5" t="inlineStr">
        <is>
          <t>NWC%</t>
        </is>
      </c>
      <c r="B10" s="13">
        <f>INDEX('3 Metrics'!$A$3:$A$12,MATCH(MIN('3 Metrics'!$E$3:$E$12),'3 Metrics'!$E$3:$E$12,0))</f>
        <v/>
      </c>
      <c r="C10" s="5">
        <f>TEXT(MIN('3 Metrics'!$E$3:$E$12),"0.00")&amp;"%"</f>
        <v/>
      </c>
      <c r="D10" s="12">
        <f>INDEX('3 Metrics'!$A$3:$A$12,MATCH(MAX('3 Metrics'!$E$3:$E$12),'3 Metrics'!$E$3:$E$12,0))</f>
        <v/>
      </c>
      <c r="E10" s="26">
        <f>TEXT(MAX('3 Metrics'!$E$3:$E$12),"0.00")&amp;"%"</f>
        <v/>
      </c>
      <c r="F10" s="26" t="inlineStr">
        <is>
          <t>Fabless model minimises operating NWC/revenue; Infineon's revenue-adjusted inventory burden is highest in group</t>
        </is>
      </c>
    </row>
    <row r="11" ht="30" customHeight="1">
      <c r="A11" s="4" t="inlineStr">
        <is>
          <t>WC Intensity</t>
        </is>
      </c>
      <c r="B11" s="13">
        <f>INDEX('3 Metrics'!$A$3:$A$12,MATCH(MIN('3 Metrics'!$F$3:$F$12),'3 Metrics'!$F$3:$F$12,0))</f>
        <v/>
      </c>
      <c r="C11" s="4">
        <f>TEXT(MIN('3 Metrics'!$F$3:$F$12),"0.00")&amp;""</f>
        <v/>
      </c>
      <c r="D11" s="12">
        <f>INDEX('3 Metrics'!$A$3:$A$12,MATCH(MAX('3 Metrics'!$F$3:$F$12),'3 Metrics'!$F$3:$F$12,0))</f>
        <v/>
      </c>
      <c r="E11" s="25">
        <f>TEXT(MAX('3 Metrics'!$F$3:$F$12),"0.00")&amp;""</f>
        <v/>
      </c>
      <c r="F11" s="25" t="inlineStr">
        <is>
          <t>Intel's flat revenue + tightly managed balance-sheet WC keeps intensity low; TSMC hoards cash for capex commitments</t>
        </is>
      </c>
    </row>
    <row r="12" ht="30" customHeight="1">
      <c r="A12" s="5" t="inlineStr">
        <is>
          <t>Current Ratio</t>
        </is>
      </c>
      <c r="B12" s="13">
        <f>INDEX('3 Metrics'!$A$3:$A$12,MATCH(MAX('3 Metrics'!$G$3:$G$12),'3 Metrics'!$G$3:$G$12,0))</f>
        <v/>
      </c>
      <c r="C12" s="5">
        <f>TEXT(MAX('3 Metrics'!$G$3:$G$12),"0.00")&amp;""</f>
        <v/>
      </c>
      <c r="D12" s="12">
        <f>INDEX('3 Metrics'!$A$3:$A$12,MATCH(MIN('3 Metrics'!$G$3:$G$12),'3 Metrics'!$G$3:$G$12,0))</f>
        <v/>
      </c>
      <c r="E12" s="26">
        <f>TEXT(MIN('3 Metrics'!$G$3:$G$12),"0.00")&amp;""</f>
        <v/>
      </c>
      <c r="F12" s="26" t="inlineStr">
        <is>
          <t>NVIDIA's AI-driven cash hoard inflates ratio; Intel's restructuring payables compress it — neither is abnormal</t>
        </is>
      </c>
    </row>
    <row r="13" ht="30" customHeight="1">
      <c r="A13" s="4" t="inlineStr">
        <is>
          <t>Overall Best Practice (V-A &amp; V-B)</t>
        </is>
      </c>
      <c r="B13" s="13">
        <f>INDEX('5 Scoring Model'!$A$4:$A$13,MATCH(1,'5 Scoring Model'!$H$4:$H$13,0))</f>
        <v/>
      </c>
      <c r="C13" s="4">
        <f>"Rank #1 V-A &amp; Rank #"&amp;INDEX('5 Scoring Model'!$J$4:$J$13,MATCH(1,'5 Scoring Model'!$H$4:$H$13,0))&amp;" V-B"</f>
        <v/>
      </c>
      <c r="D13" s="12">
        <f>INDEX('5 Scoring Model'!$A$4:$A$13,MATCH(MAX('5 Scoring Model'!$H$4:$H$13),'5 Scoring Model'!$H$4:$H$13,0))</f>
        <v/>
      </c>
      <c r="E13" s="25">
        <f>"Rank #"&amp;MAX('5 Scoring Model'!$H$4:$H$13)&amp;" both versions"</f>
        <v/>
      </c>
      <c r="F13" s="25" t="inlineStr">
        <is>
          <t>NVIDIA's AI revenue surge structurally compresses all flow ratios; Infineon faces simultaneous inventory bloat + revenue decline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55" customWidth="1" min="4" max="4"/>
    <col width="30" customWidth="1" min="5" max="5"/>
    <col width="65" customWidth="1" min="6" max="6"/>
  </cols>
  <sheetData>
    <row r="1">
      <c r="A1" s="1" t="inlineStr">
        <is>
          <t>DATA SOURCES</t>
        </is>
      </c>
    </row>
    <row r="2" ht="30" customHeight="1">
      <c r="A2" s="3" t="inlineStr">
        <is>
          <t>#</t>
        </is>
      </c>
      <c r="B2" s="3" t="inlineStr">
        <is>
          <t>Company</t>
        </is>
      </c>
      <c r="C2" s="3" t="inlineStr">
        <is>
          <t>Filing Type</t>
        </is>
      </c>
      <c r="D2" s="3" t="inlineStr">
        <is>
          <t>Document</t>
        </is>
      </c>
      <c r="E2" s="3" t="inlineStr">
        <is>
          <t>Notes</t>
        </is>
      </c>
      <c r="F2" s="30" t="inlineStr">
        <is>
          <t>URL (SEC EDGAR / Investor Relations)</t>
        </is>
      </c>
    </row>
    <row r="3" ht="22" customHeight="1">
      <c r="A3" s="4" t="n">
        <v>1</v>
      </c>
      <c r="B3" s="4" t="inlineStr">
        <is>
          <t>NVIDIA</t>
        </is>
      </c>
      <c r="C3" s="4" t="inlineStr">
        <is>
          <t>10-K</t>
        </is>
      </c>
      <c r="D3" s="4" t="inlineStr">
        <is>
          <t>Form 10-K FY2025 (yr ended Jan 26 2025) — SEC EDGAR CIK 0001045810</t>
        </is>
      </c>
      <c r="E3" s="4" t="inlineStr"/>
      <c r="F3" s="46" t="inlineStr">
        <is>
          <t>EDGAR 10-K — NVIDIA (CIK 1045810)</t>
        </is>
      </c>
    </row>
    <row r="4" ht="22" customHeight="1">
      <c r="A4" s="5" t="n">
        <v>2</v>
      </c>
      <c r="B4" s="5" t="inlineStr">
        <is>
          <t>AMD</t>
        </is>
      </c>
      <c r="C4" s="5" t="inlineStr">
        <is>
          <t>10-K</t>
        </is>
      </c>
      <c r="D4" s="5" t="inlineStr">
        <is>
          <t>Form 10-K FY2024 (yr ended Dec 28 2024) — SEC EDGAR CIK 0000002488</t>
        </is>
      </c>
      <c r="E4" s="5" t="inlineStr"/>
      <c r="F4" s="46" t="inlineStr">
        <is>
          <t>EDGAR 10-K — AMD (CIK 2488)</t>
        </is>
      </c>
    </row>
    <row r="5" ht="22" customHeight="1">
      <c r="A5" s="4" t="n">
        <v>3</v>
      </c>
      <c r="B5" s="4" t="inlineStr">
        <is>
          <t>Intel</t>
        </is>
      </c>
      <c r="C5" s="4" t="inlineStr">
        <is>
          <t>10-K</t>
        </is>
      </c>
      <c r="D5" s="4" t="inlineStr">
        <is>
          <t>Form 10-K FY2024 (yr ended Dec 28 2024) — SEC EDGAR CIK 0000050863</t>
        </is>
      </c>
      <c r="E5" s="4" t="inlineStr">
        <is>
          <t>COGS includes ~$5.2B impairment</t>
        </is>
      </c>
      <c r="F5" s="46" t="inlineStr">
        <is>
          <t>EDGAR 10-K — Intel (CIK 50863)</t>
        </is>
      </c>
    </row>
    <row r="6" ht="22" customHeight="1">
      <c r="A6" s="5" t="n">
        <v>4</v>
      </c>
      <c r="B6" s="5" t="inlineStr">
        <is>
          <t>Texas Instruments</t>
        </is>
      </c>
      <c r="C6" s="5" t="inlineStr">
        <is>
          <t>10-K</t>
        </is>
      </c>
      <c r="D6" s="5" t="inlineStr">
        <is>
          <t>Form 10-K FY2024 (yr ended Dec 31 2024) — SEC EDGAR CIK 0000097476</t>
        </is>
      </c>
      <c r="E6" s="5" t="inlineStr"/>
      <c r="F6" s="46" t="inlineStr">
        <is>
          <t>EDGAR 10-K — Texas Instruments (CIK 97476)</t>
        </is>
      </c>
    </row>
    <row r="7" ht="22" customHeight="1">
      <c r="A7" s="4" t="n">
        <v>5</v>
      </c>
      <c r="B7" s="4" t="inlineStr">
        <is>
          <t>Qualcomm</t>
        </is>
      </c>
      <c r="C7" s="4" t="inlineStr">
        <is>
          <t>10-K</t>
        </is>
      </c>
      <c r="D7" s="4" t="inlineStr">
        <is>
          <t>Form 10-K FY2024 (yr ended Sep 29 2024) — SEC EDGAR CIK 0000804328</t>
        </is>
      </c>
      <c r="E7" s="4" t="inlineStr">
        <is>
          <t>FY = Oct–Sep</t>
        </is>
      </c>
      <c r="F7" s="46" t="inlineStr">
        <is>
          <t>EDGAR 10-K — Qualcomm (CIK 804328)</t>
        </is>
      </c>
    </row>
    <row r="8" ht="22" customHeight="1">
      <c r="A8" s="5" t="n">
        <v>6</v>
      </c>
      <c r="B8" s="5" t="inlineStr">
        <is>
          <t>NXP Semiconductors</t>
        </is>
      </c>
      <c r="C8" s="5" t="inlineStr">
        <is>
          <t>20-F</t>
        </is>
      </c>
      <c r="D8" s="5" t="inlineStr">
        <is>
          <t>Form 20-F FY2024 (yr ended Dec 31 2024) — SEC EDGAR CIK 0001413447</t>
        </is>
      </c>
      <c r="E8" s="5" t="inlineStr">
        <is>
          <t>US GAAP, USD</t>
        </is>
      </c>
      <c r="F8" s="46" t="inlineStr">
        <is>
          <t>EDGAR 20-F — NXP Semiconductors (CIK 1413447)</t>
        </is>
      </c>
    </row>
    <row r="9" ht="22" customHeight="1">
      <c r="A9" s="4" t="n">
        <v>7</v>
      </c>
      <c r="B9" s="4" t="inlineStr">
        <is>
          <t>TSMC</t>
        </is>
      </c>
      <c r="C9" s="4" t="inlineStr">
        <is>
          <t>20-F</t>
        </is>
      </c>
      <c r="D9" s="4" t="inlineStr">
        <is>
          <t>Form 20-F FY2024 (yr ended Dec 31 2024) — SEC EDGAR CIK 0001046179</t>
        </is>
      </c>
      <c r="E9" s="4" t="inlineStr">
        <is>
          <t>IFRS, TWD→USD</t>
        </is>
      </c>
      <c r="F9" s="46" t="inlineStr">
        <is>
          <t>EDGAR 20-F — TSMC (CIK 1046179)</t>
        </is>
      </c>
    </row>
    <row r="10" ht="22" customHeight="1">
      <c r="A10" s="5" t="n">
        <v>8</v>
      </c>
      <c r="B10" s="5" t="inlineStr">
        <is>
          <t>Micron Technology</t>
        </is>
      </c>
      <c r="C10" s="5" t="inlineStr">
        <is>
          <t>10-K</t>
        </is>
      </c>
      <c r="D10" s="5" t="inlineStr">
        <is>
          <t>Form 10-K FY2024 (yr ended Aug 29 2024) — SEC EDGAR CIK 0000723125</t>
        </is>
      </c>
      <c r="E10" s="5" t="inlineStr">
        <is>
          <t>FY = Sep–Aug</t>
        </is>
      </c>
      <c r="F10" s="46" t="inlineStr">
        <is>
          <t>EDGAR 10-K — Micron Technology (CIK 723125)</t>
        </is>
      </c>
    </row>
    <row r="11" ht="22" customHeight="1">
      <c r="A11" s="4" t="n">
        <v>9</v>
      </c>
      <c r="B11" s="4" t="inlineStr">
        <is>
          <t>STMicroelectronics</t>
        </is>
      </c>
      <c r="C11" s="4" t="inlineStr">
        <is>
          <t>20-F</t>
        </is>
      </c>
      <c r="D11" s="4" t="inlineStr">
        <is>
          <t>Form 20-F FY2024 (yr ended Dec 31 2024) — SEC EDGAR CIK 0000912093</t>
        </is>
      </c>
      <c r="E11" s="4" t="inlineStr">
        <is>
          <t>IFRS, reported USD</t>
        </is>
      </c>
      <c r="F11" s="46" t="inlineStr">
        <is>
          <t>EDGAR 20-F — STMicroelectronics (CIK 912093)</t>
        </is>
      </c>
    </row>
    <row r="12" ht="22" customHeight="1">
      <c r="A12" s="5" t="n">
        <v>10</v>
      </c>
      <c r="B12" s="5" t="inlineStr">
        <is>
          <t>Infineon Technologies</t>
        </is>
      </c>
      <c r="C12" s="5" t="inlineStr">
        <is>
          <t>Annual Report / 20-F</t>
        </is>
      </c>
      <c r="D12" s="5" t="inlineStr">
        <is>
          <t>Annual Report FY2024 (yr ended Sep 30 2024) — IFRS, EUR→USD</t>
        </is>
      </c>
      <c r="E12" s="5" t="inlineStr">
        <is>
          <t>FY = Oct–Sep</t>
        </is>
      </c>
      <c r="F12" s="46" t="inlineStr">
        <is>
          <t>Infineon Annual Report (IR page)</t>
        </is>
      </c>
    </row>
    <row r="15">
      <c r="A15" s="2" t="inlineStr">
        <is>
          <t>MASTER ASSUMPTIONS LOG</t>
        </is>
      </c>
    </row>
    <row r="16">
      <c r="A16" s="3" t="inlineStr">
        <is>
          <t>#</t>
        </is>
      </c>
      <c r="B16" s="3" t="inlineStr">
        <is>
          <t>Assumption</t>
        </is>
      </c>
      <c r="C16" s="3" t="inlineStr">
        <is>
          <t>Companies Affected</t>
        </is>
      </c>
      <c r="D16" s="3" t="inlineStr">
        <is>
          <t>Reason</t>
        </is>
      </c>
      <c r="E16" s="3" t="inlineStr">
        <is>
          <t>Verification Required?</t>
        </is>
      </c>
    </row>
    <row r="17">
      <c r="A17" s="4" t="inlineStr">
        <is>
          <t>A1</t>
        </is>
      </c>
      <c r="B17" s="4" t="inlineStr">
        <is>
          <t>NVIDIA FY2025 (Jan 26 2025) = current year; FY2024 (Jan 28 2024) = prior year</t>
        </is>
      </c>
      <c r="C17" s="4" t="inlineStr">
        <is>
          <t>NVIDIA</t>
        </is>
      </c>
      <c r="D17" s="4" t="inlineStr">
        <is>
          <t>Most recent annual covering CY2024 operations</t>
        </is>
      </c>
      <c r="E17" s="4" t="inlineStr">
        <is>
          <t>No</t>
        </is>
      </c>
    </row>
    <row r="18">
      <c r="A18" s="5" t="inlineStr">
        <is>
          <t>A2</t>
        </is>
      </c>
      <c r="B18" s="5" t="inlineStr">
        <is>
          <t>TSMC FX: 32.0 TWD/USD (FY2024), 31.1 TWD/USD (FY2023)</t>
        </is>
      </c>
      <c r="C18" s="5" t="inlineStr">
        <is>
          <t>TSMC</t>
        </is>
      </c>
      <c r="D18" s="5" t="inlineStr">
        <is>
          <t>Annual average exchange rates [A]</t>
        </is>
      </c>
      <c r="E18" s="5" t="inlineStr">
        <is>
          <t>Yes — verify vs. TSMC 20-F stated rate</t>
        </is>
      </c>
    </row>
    <row r="19">
      <c r="A19" s="4" t="inlineStr">
        <is>
          <t>A3</t>
        </is>
      </c>
      <c r="B19" s="4" t="inlineStr">
        <is>
          <t>Infineon FX: 1.085 USD/EUR (FY2024), 1.082 USD/EUR (FY2023)</t>
        </is>
      </c>
      <c r="C19" s="4" t="inlineStr">
        <is>
          <t>Infineon</t>
        </is>
      </c>
      <c r="D19" s="4" t="inlineStr">
        <is>
          <t>Annual average EUR/USD for Oct–Sep periods [A]</t>
        </is>
      </c>
      <c r="E19" s="4" t="inlineStr">
        <is>
          <t>Yes — verify vs. Infineon Annual Report</t>
        </is>
      </c>
    </row>
    <row r="20">
      <c r="A20" s="5" t="inlineStr">
        <is>
          <t>A4</t>
        </is>
      </c>
      <c r="B20" s="5" t="inlineStr">
        <is>
          <t>COGS = Revenue − Gross Profit where not directly stated</t>
        </is>
      </c>
      <c r="C20" s="5" t="inlineStr">
        <is>
          <t>Intel, Micron</t>
        </is>
      </c>
      <c r="D20" s="5" t="inlineStr">
        <is>
          <t>Standard accounting identity; used as cross-check</t>
        </is>
      </c>
      <c r="E20" s="5" t="inlineStr">
        <is>
          <t>No</t>
        </is>
      </c>
    </row>
    <row r="21">
      <c r="A21" s="4" t="inlineStr">
        <is>
          <t>A5</t>
        </is>
      </c>
      <c r="B21" s="4" t="inlineStr">
        <is>
          <t>Intel FY2024 COGS includes ~$5.2B asset impairment; not adjusted</t>
        </is>
      </c>
      <c r="C21" s="4" t="inlineStr">
        <is>
          <t>Intel</t>
        </is>
      </c>
      <c r="D21" s="4" t="inlineStr">
        <is>
          <t>Reported unadjusted per 10-K; gross margin depressed</t>
        </is>
      </c>
      <c r="E21" s="4" t="inlineStr">
        <is>
          <t>Flag in all Intel metric comparisons</t>
        </is>
      </c>
    </row>
    <row r="22">
      <c r="A22" s="5" t="inlineStr">
        <is>
          <t>A6</t>
        </is>
      </c>
      <c r="B22" s="5" t="inlineStr">
        <is>
          <t>Micron FY2023 COGS = $17,446M (negative gross profit of −$1,906M)</t>
        </is>
      </c>
      <c r="C22" s="5" t="inlineStr">
        <is>
          <t>Micron</t>
        </is>
      </c>
      <c r="D22" s="5" t="inlineStr">
        <is>
          <t>Memory price collapse; reported figures used without adjustment</t>
        </is>
      </c>
      <c r="E22" s="5" t="inlineStr">
        <is>
          <t>Flag DIO as cyclically distorted</t>
        </is>
      </c>
    </row>
    <row r="23">
      <c r="A23" s="4" t="inlineStr">
        <is>
          <t>A7</t>
        </is>
      </c>
      <c r="B23" s="4" t="inlineStr">
        <is>
          <t>TXN DIO of 218.70d reflects deliberate strategic inventory build — not operational failure</t>
        </is>
      </c>
      <c r="C23" s="4" t="inlineStr">
        <is>
          <t>TXN</t>
        </is>
      </c>
      <c r="D23" s="4" t="inlineStr">
        <is>
          <t>Management guided 20–25 weeks finished-goods target</t>
        </is>
      </c>
      <c r="E23" s="4" t="inlineStr">
        <is>
          <t>Note in all TXN comparisons</t>
        </is>
      </c>
    </row>
    <row r="24">
      <c r="A24" s="5" t="inlineStr">
        <is>
          <t>A8</t>
        </is>
      </c>
      <c r="B24" s="5" t="inlineStr">
        <is>
          <t>Balance sheet totals (Total CA, CL, Cash, ST Debt) are approximated [A]</t>
        </is>
      </c>
      <c r="C24" s="5" t="inlineStr">
        <is>
          <t>All</t>
        </is>
      </c>
      <c r="D24" s="5" t="inlineStr">
        <is>
          <t>Operating NWC metrics use precisely sourced AR/Inv/AP/COGS/Revenue</t>
        </is>
      </c>
      <c r="E24" s="5" t="inlineStr">
        <is>
          <t>Verify balance sheet totals vs. filings</t>
        </is>
      </c>
    </row>
    <row r="25">
      <c r="A25" s="4" t="inlineStr">
        <is>
          <t>A9</t>
        </is>
      </c>
      <c r="B25" s="4" t="inlineStr">
        <is>
          <t>TSMC OCF estimated at ~$56,250M (NT$1,800B × 32.0 TWD/USD)</t>
        </is>
      </c>
      <c r="C25" s="4" t="inlineStr">
        <is>
          <t>TSMC</t>
        </is>
      </c>
      <c r="D25" s="4" t="inlineStr">
        <is>
          <t>Estimated from NT$ OCF [A]</t>
        </is>
      </c>
      <c r="E25" s="4" t="inlineStr">
        <is>
          <t>Yes — verify vs. TSMC 20-F cash flow statement</t>
        </is>
      </c>
    </row>
    <row r="26">
      <c r="A26" s="5" t="inlineStr">
        <is>
          <t>A10</t>
        </is>
      </c>
      <c r="B26" s="5" t="inlineStr">
        <is>
          <t>Prior-year data available for all 10 companies; no single-year averaging needed</t>
        </is>
      </c>
      <c r="C26" s="5" t="inlineStr">
        <is>
          <t>All</t>
        </is>
      </c>
      <c r="D26" s="5" t="inlineStr">
        <is>
          <t>Both current-year and prior-year AR, Inv, AP, Revenue, COGS sourced</t>
        </is>
      </c>
      <c r="E26" s="5" t="inlineStr">
        <is>
          <t>No</t>
        </is>
      </c>
    </row>
    <row r="27">
      <c r="A27" s="4" t="inlineStr">
        <is>
          <t>A11</t>
        </is>
      </c>
      <c r="B27" s="4" t="inlineStr">
        <is>
          <t>Operating NWC uses trade AR, trade inventory, trade AP only — no tax/derivative/financing items</t>
        </is>
      </c>
      <c r="C27" s="4" t="inlineStr">
        <is>
          <t>All</t>
        </is>
      </c>
      <c r="D27" s="4" t="inlineStr">
        <is>
          <t>Per methodology specification</t>
        </is>
      </c>
      <c r="E27" s="4" t="inlineStr">
        <is>
          <t>No</t>
        </is>
      </c>
    </row>
    <row r="28">
      <c r="A28" s="5" t="inlineStr">
        <is>
          <t>A12</t>
        </is>
      </c>
      <c r="B28" s="5" t="inlineStr">
        <is>
          <t>Infineon FY2024 = Oct 2023–Sep 2024; FY2023 = Oct 2022–Sep 2023</t>
        </is>
      </c>
      <c r="C28" s="5" t="inlineStr">
        <is>
          <t>Infineon</t>
        </is>
      </c>
      <c r="D28" s="5" t="inlineStr">
        <is>
          <t>Infineon fiscal year runs Oct–Sep</t>
        </is>
      </c>
      <c r="E28" s="5" t="inlineStr">
        <is>
          <t>No</t>
        </is>
      </c>
    </row>
  </sheetData>
  <mergeCells count="2">
    <mergeCell ref="A15:E15"/>
    <mergeCell ref="A1:E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36" customWidth="1" min="4" max="4"/>
    <col width="30" customWidth="1" min="5" max="5"/>
    <col width="22" customWidth="1" min="6" max="6"/>
    <col width="16" customWidth="1" min="7" max="7"/>
  </cols>
  <sheetData>
    <row r="1" ht="22" customHeight="1">
      <c r="A1" s="29" t="inlineStr">
        <is>
          <t>STEP 11 — FORMULA REFERENCE  |  All formulas, explanations, and data source references
⚡ NOTE: As of this version all calculated cells in Sheets 2–6 and 9 use live Excel formulas linked to Sheet 1 raw data — no hardcoded computed values. Select any cell in those sheets to see and audit the formula in the formula bar.</t>
        </is>
      </c>
    </row>
    <row r="2" ht="30" customHeight="1">
      <c r="A2" s="30" t="inlineStr">
        <is>
          <t>#</t>
        </is>
      </c>
      <c r="B2" s="30" t="inlineStr">
        <is>
          <t>Metric / Variable</t>
        </is>
      </c>
      <c r="C2" s="30" t="inlineStr">
        <is>
          <t>Formula</t>
        </is>
      </c>
      <c r="D2" s="30" t="inlineStr">
        <is>
          <t>Short Explanation</t>
        </is>
      </c>
      <c r="E2" s="30" t="inlineStr">
        <is>
          <t>Source Sheet / Cells</t>
        </is>
      </c>
      <c r="F2" s="30" t="inlineStr">
        <is>
          <t>Data Origin</t>
        </is>
      </c>
      <c r="G2" s="30" t="inlineStr">
        <is>
          <t>Notes / Flags</t>
        </is>
      </c>
    </row>
    <row r="3" ht="18" customHeight="1">
      <c r="A3" s="31" t="inlineStr">
        <is>
          <t>A — AVERAGE BALANCE CALCULATIONS  (Sheet: 2 Average Balances)</t>
        </is>
      </c>
    </row>
    <row r="4" ht="42" customHeight="1">
      <c r="A4" s="32" t="inlineStr">
        <is>
          <t>A1</t>
        </is>
      </c>
      <c r="B4" s="32" t="inlineStr">
        <is>
          <t>Average Accounts Receivable (Avg AR)</t>
        </is>
      </c>
      <c r="C4" s="33" t="inlineStr">
        <is>
          <t>Avg AR = (AR_CY + AR_PY) / 2</t>
        </is>
      </c>
      <c r="D4" s="32" t="inlineStr">
        <is>
          <t>Simple two-period average smooths seasonality and point-in-time reporting differences.</t>
        </is>
      </c>
      <c r="E4" s="34" t="inlineStr">
        <is>
          <t>Sheet "2 Average Balances" col B
AR data: Sheet "1 Raw Data" rows 29–39 cols B–C</t>
        </is>
      </c>
      <c r="F4" s="32" t="inlineStr">
        <is>
          <t>Company 10-K / 20-F — Balance Sheet (Trade Receivables, net)</t>
        </is>
      </c>
      <c r="G4" s="32" t="inlineStr">
        <is>
          <t>Use net AR (after allowance). TSMC values converted from TWD at annual avg FX.</t>
        </is>
      </c>
    </row>
    <row r="5" ht="42" customHeight="1">
      <c r="A5" s="32" t="inlineStr">
        <is>
          <t>A2</t>
        </is>
      </c>
      <c r="B5" s="32" t="inlineStr">
        <is>
          <t>Average Inventory (Avg Inventory)</t>
        </is>
      </c>
      <c r="C5" s="33" t="inlineStr">
        <is>
          <t>Avg Inv = (Inventory_CY + Inventory_PY) / 2</t>
        </is>
      </c>
      <c r="D5" s="32" t="inlineStr">
        <is>
          <t>Averages opening and closing inventory to reduce distortion from period-end builds.</t>
        </is>
      </c>
      <c r="E5" s="34" t="inlineStr">
        <is>
          <t>Sheet "2 Average Balances" col C
Inv data: Sheet "1 Raw Data" rows 29–39 cols D–E</t>
        </is>
      </c>
      <c r="F5" s="32" t="inlineStr">
        <is>
          <t>Company 10-K / 20-F — Balance Sheet (Inventories)</t>
        </is>
      </c>
      <c r="G5" s="32" t="inlineStr">
        <is>
          <t>⚠ TXN: strategic build. ⚠ Micron FY23: memory trough inflates avg.</t>
        </is>
      </c>
    </row>
    <row r="6" ht="42" customHeight="1">
      <c r="A6" s="32" t="inlineStr">
        <is>
          <t>A3</t>
        </is>
      </c>
      <c r="B6" s="32" t="inlineStr">
        <is>
          <t>Average Accounts Payable (Avg AP)</t>
        </is>
      </c>
      <c r="C6" s="33" t="inlineStr">
        <is>
          <t>Avg AP = (AP_CY + AP_PY) / 2</t>
        </is>
      </c>
      <c r="D6" s="32" t="inlineStr">
        <is>
          <t>Two-period average of trade payables to align with the COGS denominator used in DPO.</t>
        </is>
      </c>
      <c r="E6" s="34" t="inlineStr">
        <is>
          <t>Sheet "2 Average Balances" col D
AP data: Sheet "1 Raw Data" rows 29–39 cols F–G</t>
        </is>
      </c>
      <c r="F6" s="32" t="inlineStr">
        <is>
          <t>Company 10-K / 20-F — Balance Sheet (Trade Payables / Accounts Payable)</t>
        </is>
      </c>
      <c r="G6" s="32" t="inlineStr">
        <is>
          <t>Trade AP only; excludes accrued expenses and financing payables.</t>
        </is>
      </c>
    </row>
    <row r="7" ht="42" customHeight="1">
      <c r="A7" s="32" t="inlineStr">
        <is>
          <t>A4</t>
        </is>
      </c>
      <c r="B7" s="32" t="inlineStr">
        <is>
          <t>Average COGS (Avg COGS)</t>
        </is>
      </c>
      <c r="C7" s="33" t="inlineStr">
        <is>
          <t>Avg COGS = (COGS_CY + COGS_PY) / 2</t>
        </is>
      </c>
      <c r="D7" s="32" t="inlineStr">
        <is>
          <t>Used as the denominator for DIO and DPO to neutralise single-year COGS anomalies.</t>
        </is>
      </c>
      <c r="E7" s="34" t="inlineStr">
        <is>
          <t>Sheet "2 Average Balances" col E
COGS data: Sheet "1 Raw Data" rows 16–26 cols D–E</t>
        </is>
      </c>
      <c r="F7" s="32" t="inlineStr">
        <is>
          <t>Company 10-K / 20-F — Income Statement (Cost of Revenue / Cost of Goods Sold)</t>
        </is>
      </c>
      <c r="G7" s="32" t="inlineStr">
        <is>
          <t>Intel: COGS includes ~$5.2B impairment (not adjusted). Micron FY23 COGS &gt; Revenue (gross loss).</t>
        </is>
      </c>
    </row>
    <row r="8" ht="42" customHeight="1">
      <c r="A8" s="32" t="inlineStr">
        <is>
          <t>A5</t>
        </is>
      </c>
      <c r="B8" s="32" t="inlineStr">
        <is>
          <t>Average Revenue (Avg Revenue)</t>
        </is>
      </c>
      <c r="C8" s="33" t="inlineStr">
        <is>
          <t>Avg Revenue = (Revenue_CY + Revenue_PY) / 2</t>
        </is>
      </c>
      <c r="D8" s="32" t="inlineStr">
        <is>
          <t>Used as DSO denominator; smooths hyper-growth companies (NVIDIA +114% YoY).</t>
        </is>
      </c>
      <c r="E8" s="34" t="inlineStr">
        <is>
          <t>Sheet "2 Average Balances" col F
Revenue data: Sheet "1 Raw Data" rows 16–26 cols B–C</t>
        </is>
      </c>
      <c r="F8" s="32" t="inlineStr">
        <is>
          <t>Company 10-K / 20-F — Income Statement (Net Revenue / Net Sales)</t>
        </is>
      </c>
      <c r="G8" s="32" t="inlineStr">
        <is>
          <t>TSMC: NT$ revenues converted at annual avg rate. Infineon: EUR converted at 1.085 USD/EUR.</t>
        </is>
      </c>
    </row>
    <row r="9" ht="18" customHeight="1">
      <c r="A9" s="35" t="inlineStr">
        <is>
          <t>B — WORKING CAPITAL METRICS  (Sheet: 3 Metrics, cols B–G)</t>
        </is>
      </c>
    </row>
    <row r="10" ht="42" customHeight="1">
      <c r="A10" s="32" t="inlineStr">
        <is>
          <t>B1</t>
        </is>
      </c>
      <c r="B10" s="32" t="inlineStr">
        <is>
          <t>Working Capital (WC)</t>
        </is>
      </c>
      <c r="C10" s="33" t="inlineStr">
        <is>
          <t>WC = Total Current Assets − Total Current Liabilities</t>
        </is>
      </c>
      <c r="D10" s="32" t="inlineStr">
        <is>
          <t>Broadest liquidity measure; shows net short-term resources after all near-term obligations.</t>
        </is>
      </c>
      <c r="E10" s="34" t="inlineStr">
        <is>
          <t>Sheet "3 Metrics" col B
CA/CL: Sheet "1 Raw Data" rows 40–51 cols B, E</t>
        </is>
      </c>
      <c r="F10" s="32" t="inlineStr">
        <is>
          <t>10-K / 20-F Balance Sheet — Current Assets &amp; Current Liabilities totals</t>
        </is>
      </c>
      <c r="G10" s="32" t="inlineStr">
        <is>
          <t>[A] CA and CL totals are approximated where not explicitly broken out.</t>
        </is>
      </c>
    </row>
    <row r="11" ht="42" customHeight="1">
      <c r="A11" s="32" t="inlineStr">
        <is>
          <t>B2</t>
        </is>
      </c>
      <c r="B11" s="32" t="inlineStr">
        <is>
          <t>Balance Sheet NWC (BS NWC)</t>
        </is>
      </c>
      <c r="C11" s="33" t="inlineStr">
        <is>
          <t>BS NWC = (Total CA − Cash &amp; ST Investments)
         − (Total CL − ST Debt)</t>
        </is>
      </c>
      <c r="D11" s="32" t="inlineStr">
        <is>
          <t>Strips financing items (cash, short-term debt) from WC to reveal the operating funding gap.</t>
        </is>
      </c>
      <c r="E11" s="34" t="inlineStr">
        <is>
          <t>Sheet "3 Metrics" col C
Cash, ST Debt: Sheet "1 Raw Data" rows 40–51 cols C, G</t>
        </is>
      </c>
      <c r="F11" s="32" t="inlineStr">
        <is>
          <t>10-K / 20-F Balance Sheet</t>
        </is>
      </c>
      <c r="G11" s="32" t="inlineStr">
        <is>
          <t>[A] Cash &amp; ST Inv and ST Debt values approximated for several companies.</t>
        </is>
      </c>
    </row>
    <row r="12" ht="42" customHeight="1">
      <c r="A12" s="32" t="inlineStr">
        <is>
          <t>B3</t>
        </is>
      </c>
      <c r="B12" s="32" t="inlineStr">
        <is>
          <t>Operating NWC (Op. NWC)</t>
        </is>
      </c>
      <c r="C12" s="33" t="inlineStr">
        <is>
          <t>Op. NWC = Trade AR + Inventory − Trade AP</t>
        </is>
      </c>
      <c r="D12" s="32" t="inlineStr">
        <is>
          <t>Isolates the cash tied up purely in the trade cycle — the most actionable metric.</t>
        </is>
      </c>
      <c r="E12" s="34" t="inlineStr">
        <is>
          <t>Sheet "3 Metrics" col D
AR/Inv/AP: Sheet "1 Raw Data" rows 28–39</t>
        </is>
      </c>
      <c r="F12" s="32" t="inlineStr">
        <is>
          <t>10-K / 20-F — AR (net), Inventories, Accounts Payable (CY values only)</t>
        </is>
      </c>
      <c r="G12" s="32" t="inlineStr">
        <is>
          <t>Uses current-year balances only. Avg Op. NWC used in gap analysis (Sheet 6).</t>
        </is>
      </c>
    </row>
    <row r="13" ht="42" customHeight="1">
      <c r="A13" s="32" t="inlineStr">
        <is>
          <t>B4</t>
        </is>
      </c>
      <c r="B13" s="32" t="inlineStr">
        <is>
          <t>NWC as % of Revenue (NWC%)</t>
        </is>
      </c>
      <c r="C13" s="33" t="inlineStr">
        <is>
          <t>NWC% = Op. NWC / Revenue_CY × 100</t>
        </is>
      </c>
      <c r="D13" s="32" t="inlineStr">
        <is>
          <t>Revenue-normalised view; allows fair size-adjusted comparison across companies.</t>
        </is>
      </c>
      <c r="E13" s="34" t="inlineStr">
        <is>
          <t>Sheet "3 Metrics" col E
Op. NWC: col D same row; Revenue CY: Sheet "1 Raw Data" col B rows 17–26</t>
        </is>
      </c>
      <c r="F13" s="32" t="inlineStr">
        <is>
          <t>Derived — no direct filing source</t>
        </is>
      </c>
      <c r="G13" s="32" t="inlineStr">
        <is>
          <t>Lower % = more capital-efficient. Qualcomm best (11.5%), Infineon worst (46.7%).</t>
        </is>
      </c>
    </row>
    <row r="14" ht="42" customHeight="1">
      <c r="A14" s="32" t="inlineStr">
        <is>
          <t>B5</t>
        </is>
      </c>
      <c r="B14" s="32" t="inlineStr">
        <is>
          <t>WC Intensity</t>
        </is>
      </c>
      <c r="C14" s="33" t="inlineStr">
        <is>
          <t>WC Intensity = WC / Revenue_CY
(decimal, not %)
where WC = Total CA − Total CL</t>
        </is>
      </c>
      <c r="D14" s="32" t="inlineStr">
        <is>
          <t>Same as NWC% but expressed as a ratio. A value of 0.20 = $0.20 of WC per $1 of revenue.</t>
        </is>
      </c>
      <c r="E14" s="34" t="inlineStr">
        <is>
          <t>Sheet "3 Metrics" col F
WC: col B same row; Revenue CY: Sheet "1 Raw Data" col B rows 17–26</t>
        </is>
      </c>
      <c r="F14" s="32" t="inlineStr">
        <is>
          <t>Derived — no direct filing source</t>
        </is>
      </c>
      <c r="G14" s="32" t="inlineStr">
        <is>
          <t>Equivalent to NWC% ÷ 100. Used in scoring model.</t>
        </is>
      </c>
    </row>
    <row r="15" ht="42" customHeight="1">
      <c r="A15" s="32" t="inlineStr">
        <is>
          <t>B6</t>
        </is>
      </c>
      <c r="B15" s="32" t="inlineStr">
        <is>
          <t>Current Ratio</t>
        </is>
      </c>
      <c r="C15" s="33" t="inlineStr">
        <is>
          <t>Current Ratio = Total CA / Total CL</t>
        </is>
      </c>
      <c r="D15" s="32" t="inlineStr">
        <is>
          <t>Standard short-term solvency test. &gt;1 means current assets cover current liabilities.</t>
        </is>
      </c>
      <c r="E15" s="34" t="inlineStr">
        <is>
          <t>Sheet "3 Metrics" col G
CA/CL: Sheet "1 Raw Data" rows 40–51</t>
        </is>
      </c>
      <c r="F15" s="32" t="inlineStr">
        <is>
          <t>10-K / 20-F Balance Sheet</t>
        </is>
      </c>
      <c r="G15" s="32" t="inlineStr">
        <is>
          <t>[A] Based on approximated CA/CL. A ratio of 1.5–3.0 is generally considered healthy.</t>
        </is>
      </c>
    </row>
    <row r="16" ht="18" customHeight="1">
      <c r="A16" s="36" t="inlineStr">
        <is>
          <t>C — ACTIVITY / EFFICIENCY RATIOS  (Sheet: 3 Metrics, cols H–M)</t>
        </is>
      </c>
    </row>
    <row r="17" ht="42" customHeight="1">
      <c r="A17" s="32" t="inlineStr">
        <is>
          <t>C1</t>
        </is>
      </c>
      <c r="B17" s="32" t="inlineStr">
        <is>
          <t>Days Sales Outstanding (DSO)</t>
        </is>
      </c>
      <c r="C17" s="33" t="inlineStr">
        <is>
          <t>DSO = Avg AR / (Revenue_CY / 365)</t>
        </is>
      </c>
      <c r="D17" s="32" t="inlineStr">
        <is>
          <t>Average number of days to collect cash after a sale. Lower = faster cash collection.</t>
        </is>
      </c>
      <c r="E17" s="34" t="inlineStr">
        <is>
          <t>Sheet "3 Metrics" col H
Avg AR: Sheet "2" col B; Revenue CY: Sheet "1 Raw Data" col B rows 17–26</t>
        </is>
      </c>
      <c r="F17" s="32" t="inlineStr">
        <is>
          <t>Derived from 10-K / 20-F AR and Revenue figures</t>
        </is>
      </c>
      <c r="G17" s="32" t="inlineStr">
        <is>
          <t>Best: Intel 35.5d (fast enterprise pay). Worst: Infineon 71.0d (auto OEM credit terms).</t>
        </is>
      </c>
    </row>
    <row r="18" ht="42" customHeight="1">
      <c r="A18" s="32" t="inlineStr">
        <is>
          <t>C2</t>
        </is>
      </c>
      <c r="B18" s="32" t="inlineStr">
        <is>
          <t>Accounts Receivable Turnover (AR Turns)</t>
        </is>
      </c>
      <c r="C18" s="33" t="inlineStr">
        <is>
          <t>AR Turns = Revenue_CY / Avg AR  (times per year)</t>
        </is>
      </c>
      <c r="D18" s="32" t="inlineStr">
        <is>
          <t>How many times per year a company collects its entire AR balance. Higher = better.</t>
        </is>
      </c>
      <c r="E18" s="34" t="inlineStr">
        <is>
          <t>Sheet "3 Metrics" col I
Revenue CY: Sheet "1 Raw Data" col B rows 17–26; Avg AR: Sheet "2" col B</t>
        </is>
      </c>
      <c r="F18" s="32" t="inlineStr">
        <is>
          <t>Derived — no direct filing source</t>
        </is>
      </c>
      <c r="G18" s="32" t="inlineStr">
        <is>
          <t>Mathematically inverse of DSO × 365. Used in ranking and scoring as a cross-check.</t>
        </is>
      </c>
    </row>
    <row r="19" ht="42" customHeight="1">
      <c r="A19" s="32" t="inlineStr">
        <is>
          <t>C3</t>
        </is>
      </c>
      <c r="B19" s="32" t="inlineStr">
        <is>
          <t>Days Inventory Outstanding (DIO)</t>
        </is>
      </c>
      <c r="C19" s="33" t="inlineStr">
        <is>
          <t>DIO = Avg Inventory / Avg COGS × 365</t>
        </is>
      </c>
      <c r="D19" s="32" t="inlineStr">
        <is>
          <t>Average days inventory is held before sale. Lower = leaner supply chain.</t>
        </is>
      </c>
      <c r="E19" s="34" t="inlineStr">
        <is>
          <t>Sheet "3 Metrics" col J
Avg Inv: Sheet "2" col C; Avg COGS: Sheet "2" col E</t>
        </is>
      </c>
      <c r="F19" s="32" t="inlineStr">
        <is>
          <t>Derived from 10-K / 20-F Inventory and COGS figures</t>
        </is>
      </c>
      <c r="G19" s="32" t="inlineStr">
        <is>
          <t>⚠ TXN 218.7d = strategic. ⚠ Infineon 243.7d = auto demand collapse. ⚠ Micron 165.4d = cycle.</t>
        </is>
      </c>
    </row>
    <row r="20" ht="42" customHeight="1">
      <c r="A20" s="32" t="inlineStr">
        <is>
          <t>C4</t>
        </is>
      </c>
      <c r="B20" s="32" t="inlineStr">
        <is>
          <t>Days Payable Outstanding (DPO)</t>
        </is>
      </c>
      <c r="C20" s="33" t="inlineStr">
        <is>
          <t>DPO = Avg AP / Avg COGS × 365</t>
        </is>
      </c>
      <c r="D20" s="32" t="inlineStr">
        <is>
          <t>Average days taken to pay suppliers. Higher = better for the buyer (free credit period).</t>
        </is>
      </c>
      <c r="E20" s="34" t="inlineStr">
        <is>
          <t>Sheet "3 Metrics" col K
Avg AP: Sheet "2" col D; Avg COGS: Sheet "2" col E</t>
        </is>
      </c>
      <c r="F20" s="32" t="inlineStr">
        <is>
          <t>Derived from 10-K / 20-F AP and COGS figures</t>
        </is>
      </c>
      <c r="G20" s="32" t="inlineStr">
        <is>
          <t>Best: Qualcomm 88.4d. Worst: TXN 22.4d (IDM own-fab model generates fewer trade payables).</t>
        </is>
      </c>
    </row>
    <row r="21" ht="42" customHeight="1">
      <c r="A21" s="32" t="inlineStr">
        <is>
          <t>C5</t>
        </is>
      </c>
      <c r="B21" s="32" t="inlineStr">
        <is>
          <t>Cash Conversion Cycle (CCC)</t>
        </is>
      </c>
      <c r="C21" s="33" t="inlineStr">
        <is>
          <t>CCC = DSO + DIO − DPO  (days)</t>
        </is>
      </c>
      <c r="D21" s="32" t="inlineStr">
        <is>
          <t>Days from paying suppliers to collecting cash from customers. Lower (or negative) = better.</t>
        </is>
      </c>
      <c r="E21" s="34" t="inlineStr">
        <is>
          <t>Sheet "3 Metrics" col L
DSO col H, DIO col J, DPO col K</t>
        </is>
      </c>
      <c r="F21" s="32" t="inlineStr">
        <is>
          <t>Derived — no direct filing source</t>
        </is>
      </c>
      <c r="G21" s="32" t="inlineStr">
        <is>
          <t>Best: Qualcomm 22.1d. Worst: Infineon 240.5d. Negative CCC rare in semiconductors (see Sheet 8).</t>
        </is>
      </c>
    </row>
    <row r="22" ht="42" customHeight="1">
      <c r="A22" s="32" t="inlineStr">
        <is>
          <t>C6</t>
        </is>
      </c>
      <c r="B22" s="32" t="inlineStr">
        <is>
          <t>Cash Return Ratio (CRR)</t>
        </is>
      </c>
      <c r="C22" s="33" t="inlineStr">
        <is>
          <t>CRR = OCF / Revenue_CY × 100  (%)</t>
        </is>
      </c>
      <c r="D22" s="32" t="inlineStr">
        <is>
          <t>Fraction of each revenue dollar converted to operating cash. Captures D&amp;A and WC movements.</t>
        </is>
      </c>
      <c r="E22" s="34" t="inlineStr">
        <is>
          <t>Sheet "3 Metrics" col M
OCF: Sheet "1 Raw Data" rows 40–51 col I; Revenue: col B rows 16–26</t>
        </is>
      </c>
      <c r="F22" s="32" t="inlineStr">
        <is>
          <t>10-K / 20-F — Cash Flow Statement (Net Cash from Operating Activities)</t>
        </is>
      </c>
      <c r="G22" s="32" t="inlineStr">
        <is>
          <t>Best: TSMC 62.2% (massive D&amp;A add-back). Worst: AMD 10.5% (R&amp;D investment). [A] TSMC OCF estimated.</t>
        </is>
      </c>
    </row>
    <row r="23" ht="18" customHeight="1">
      <c r="A23" s="37" t="inlineStr">
        <is>
          <t>D — CASH POTENTIAL GAP ANALYSIS  (Sheet: 6 Cash Potential)</t>
        </is>
      </c>
    </row>
    <row r="24" ht="42" customHeight="1">
      <c r="A24" s="32" t="inlineStr">
        <is>
          <t>D1</t>
        </is>
      </c>
      <c r="B24" s="32" t="inlineStr">
        <is>
          <t>DSO Lever (USD M)</t>
        </is>
      </c>
      <c r="C24" s="33" t="inlineStr">
        <is>
          <t>DSO Lever = (DSO_company − DSO_best) × Avg Revenue / 365
DSO_best = Intel 35.50 days</t>
        </is>
      </c>
      <c r="D24" s="32" t="inlineStr">
        <is>
          <t>Cash unlocked if the company reduced DSO to the best-in-class peer level.</t>
        </is>
      </c>
      <c r="E24" s="34" t="inlineStr">
        <is>
          <t>Sheet "6 Cash Potential" col C–D
DSO values: Sheet "3 Metrics" col H; Avg Revenue: Sheet "2" col F</t>
        </is>
      </c>
      <c r="F24" s="32" t="inlineStr">
        <is>
          <t>Derived — no direct filing source</t>
        </is>
      </c>
      <c r="G24" s="32" t="inlineStr">
        <is>
          <t>Only calculated for Q3 &amp; Q4 companies. DSO gap = company DSO − 35.50.</t>
        </is>
      </c>
    </row>
    <row r="25" ht="42" customHeight="1">
      <c r="A25" s="32" t="inlineStr">
        <is>
          <t>D2</t>
        </is>
      </c>
      <c r="B25" s="32" t="inlineStr">
        <is>
          <t>DIO Lever (USD M)</t>
        </is>
      </c>
      <c r="C25" s="33" t="inlineStr">
        <is>
          <t>DIO Lever = (DIO_company − DIO_best) × Avg COGS / 365
DIO_best = Qualcomm 54.28 days</t>
        </is>
      </c>
      <c r="D25" s="32" t="inlineStr">
        <is>
          <t>Cash unlocked if the company reduced its inventory days to the best-in-class peer level.</t>
        </is>
      </c>
      <c r="E25" s="34" t="inlineStr">
        <is>
          <t>Sheet "6 Cash Potential" col E–F
DIO values: Sheet "3 Metrics" col J; Avg COGS: Sheet "2" col E</t>
        </is>
      </c>
      <c r="F25" s="32" t="inlineStr">
        <is>
          <t>Derived — no direct filing source</t>
        </is>
      </c>
      <c r="G25" s="32" t="inlineStr">
        <is>
          <t>⚠ DIO improvements are subject to business-model constraints (IDM vs. fabless). See Sheet 8.</t>
        </is>
      </c>
    </row>
    <row r="26" ht="42" customHeight="1">
      <c r="A26" s="32" t="inlineStr">
        <is>
          <t>D3</t>
        </is>
      </c>
      <c r="B26" s="32" t="inlineStr">
        <is>
          <t>DPO Lever (USD M)</t>
        </is>
      </c>
      <c r="C26" s="33" t="inlineStr">
        <is>
          <t>DPO Lever = (DPO_best − DPO_company) × Avg COGS / 365
DPO_best = Qualcomm 88.44 days</t>
        </is>
      </c>
      <c r="D26" s="32" t="inlineStr">
        <is>
          <t>Additional supplier credit (free cash) available if DPO was extended to best-in-class.</t>
        </is>
      </c>
      <c r="E26" s="34" t="inlineStr">
        <is>
          <t>Sheet "6 Cash Potential" col G–H
DPO values: Sheet "3 Metrics" col K; Avg COGS: Sheet "2" col E</t>
        </is>
      </c>
      <c r="F26" s="32" t="inlineStr">
        <is>
          <t>Derived — no direct filing source</t>
        </is>
      </c>
      <c r="G26" s="32" t="inlineStr">
        <is>
          <t>DPO extension requires supplier negotiation; subject to pricing-power constraints.</t>
        </is>
      </c>
    </row>
    <row r="27" ht="42" customHeight="1">
      <c r="A27" s="32" t="inlineStr">
        <is>
          <t>D4</t>
        </is>
      </c>
      <c r="B27" s="32" t="inlineStr">
        <is>
          <t>Total Cash Potential (USD M)</t>
        </is>
      </c>
      <c r="C27" s="33" t="inlineStr">
        <is>
          <t>Total = DSO Lever + DIO Lever + DPO Lever</t>
        </is>
      </c>
      <c r="D27" s="32" t="inlineStr">
        <is>
          <t>Combined maximum cash release achievable by closing all three gaps simultaneously.</t>
        </is>
      </c>
      <c r="E27" s="34" t="inlineStr">
        <is>
          <t>Sheet "6 Cash Potential" col I</t>
        </is>
      </c>
      <c r="F27" s="32" t="inlineStr">
        <is>
          <t>Derived — no direct filing source</t>
        </is>
      </c>
      <c r="G27" s="32" t="inlineStr">
        <is>
          <t>Realistic release: 12–24 months. Micron DIO improvement is partially market-dependent.</t>
        </is>
      </c>
    </row>
    <row r="28" ht="18" customHeight="1">
      <c r="A28" s="38" t="inlineStr">
        <is>
          <t>E — SCORING MODEL  (Sheet: 5 Scoring Model)</t>
        </is>
      </c>
    </row>
    <row r="29" ht="42" customHeight="1">
      <c r="A29" s="32" t="inlineStr">
        <is>
          <t>E1</t>
        </is>
      </c>
      <c r="B29" s="32" t="inlineStr">
        <is>
          <t>Version A Score (Equal Weights)</t>
        </is>
      </c>
      <c r="C29" s="33" t="inlineStr">
        <is>
          <t>V-A Score = (DSO_rank + AR_Turns_rank + CCC_rank
             + CRR_rank + NWC%_rank) / 5
Weight per metric = 20%</t>
        </is>
      </c>
      <c r="D29" s="32" t="inlineStr">
        <is>
          <t>Simple average of 5 dimension ranks. Rank 1 = best in group. Lower score = better.</t>
        </is>
      </c>
      <c r="E29" s="34" t="inlineStr">
        <is>
          <t>Sheet "5 Scoring Model" col G
Ranks: Sheet "4 Rankings" cols B–I</t>
        </is>
      </c>
      <c r="F29" s="32" t="inlineStr">
        <is>
          <t>Derived — no direct filing source</t>
        </is>
      </c>
      <c r="G29" s="32" t="inlineStr">
        <is>
          <t>Five metrics: DSO, AR Turns, CCC, CRR, NWC%. Equal 20% weight each.</t>
        </is>
      </c>
    </row>
    <row r="30" ht="42" customHeight="1">
      <c r="A30" s="32" t="inlineStr">
        <is>
          <t>E2</t>
        </is>
      </c>
      <c r="B30" s="32" t="inlineStr">
        <is>
          <t>Version B Score (Sensitivity Weights)</t>
        </is>
      </c>
      <c r="C30" s="33" t="inlineStr">
        <is>
          <t>V-B Score = CCC_rank × 0.30
           + NWC%_rank × 0.25
           + DSO_rank × 0.15
           + AR_Turns_rank × 0.15
           + CRR_rank × 0.15</t>
        </is>
      </c>
      <c r="D30" s="32" t="inlineStr">
        <is>
          <t>Weighted scoring emphasising the cash cycle (CCC) and NWC efficiency as primary levers.</t>
        </is>
      </c>
      <c r="E30" s="34" t="inlineStr">
        <is>
          <t>Sheet "5 Scoring Model" col I
Ranks: Sheet "4 Rankings"</t>
        </is>
      </c>
      <c r="F30" s="32" t="inlineStr">
        <is>
          <t>Derived — no direct filing source</t>
        </is>
      </c>
      <c r="G30" s="32" t="inlineStr">
        <is>
          <t>CCC and NWC% together = 55% of total score, reflecting their importance as strategic levers.</t>
        </is>
      </c>
    </row>
    <row r="31" ht="42" customHeight="1">
      <c r="A31" s="32" t="inlineStr">
        <is>
          <t>E3</t>
        </is>
      </c>
      <c r="B31" s="32" t="inlineStr">
        <is>
          <t>Quartile Assignment</t>
        </is>
      </c>
      <c r="C31" s="33" t="inlineStr">
        <is>
          <t>Q1: V-A Rank 1–3  (Top performers)
Q2: V-A Rank 4–5
Q3: V-A Rank 6–8
Q4: V-A Rank 9–10  (Underperformers)
Formula: =IF(H&lt;=3,"Q1",IF(H&lt;=5,"Q2",IF(H&lt;=8,"Q3","Q4")))</t>
        </is>
      </c>
      <c r="D31" s="32" t="inlineStr">
        <is>
          <t>Groups companies into performance tiers for strategy and cash-potential analysis.</t>
        </is>
      </c>
      <c r="E31" s="34" t="inlineStr">
        <is>
          <t>Sheet "5 Scoring Model" col K</t>
        </is>
      </c>
      <c r="F31" s="32" t="inlineStr">
        <is>
          <t>Derived — no direct filing source</t>
        </is>
      </c>
      <c r="G31" s="32" t="inlineStr">
        <is>
          <t>Q3 &amp; Q4 companies are analysed further in Sheets 6 and 7 for cash release potential.</t>
        </is>
      </c>
    </row>
    <row r="32" ht="18" customHeight="1">
      <c r="A32" s="39" t="inlineStr">
        <is>
          <t>F — CURRENCY CONVERSION  (Sheet: 1 Raw Data, col H)</t>
        </is>
      </c>
    </row>
    <row r="33" ht="42" customHeight="1">
      <c r="A33" s="32" t="inlineStr">
        <is>
          <t>F1</t>
        </is>
      </c>
      <c r="B33" s="32" t="inlineStr">
        <is>
          <t>TSMC: TWD → USD (FY2024)</t>
        </is>
      </c>
      <c r="C33" s="33" t="inlineStr">
        <is>
          <t>USD value = TWD value ÷ 32.0</t>
        </is>
      </c>
      <c r="D33" s="32" t="inlineStr">
        <is>
          <t>Converts TSMC financials from New Taiwan Dollar to USD using annual average FX rate.</t>
        </is>
      </c>
      <c r="E33" s="34" t="inlineStr">
        <is>
          <t>Sheet "1 Raw Data" cell H10
Assumption A2: Sheet "10 Sources &amp; Assumptions" row 18</t>
        </is>
      </c>
      <c r="F33" s="32" t="inlineStr">
        <is>
          <t>Annual average TWD/USD exchange rate for calendar year 2024 [Approximated]</t>
        </is>
      </c>
      <c r="G33" s="32" t="inlineStr">
        <is>
          <t>⚠ [A] Verify vs. TSMC Form 20-F stated average translation rate.</t>
        </is>
      </c>
    </row>
    <row r="34" ht="42" customHeight="1">
      <c r="A34" s="32" t="inlineStr">
        <is>
          <t>F2</t>
        </is>
      </c>
      <c r="B34" s="32" t="inlineStr">
        <is>
          <t>TSMC: TWD → USD (FY2023)</t>
        </is>
      </c>
      <c r="C34" s="33" t="inlineStr">
        <is>
          <t>USD value = TWD value ÷ 31.1</t>
        </is>
      </c>
      <c r="D34" s="32" t="inlineStr">
        <is>
          <t>Prior-year TSMC conversion for two-period average balance calculations.</t>
        </is>
      </c>
      <c r="E34" s="34" t="inlineStr">
        <is>
          <t>Sheet "1 Raw Data" cell H10
Assumption A2: Sheet "10 Sources &amp; Assumptions" row 18</t>
        </is>
      </c>
      <c r="F34" s="32" t="inlineStr">
        <is>
          <t>Annual average TWD/USD exchange rate for calendar year 2023 [Approximated]</t>
        </is>
      </c>
      <c r="G34" s="32" t="inlineStr">
        <is>
          <t>⚠ [A] Verify vs. TSMC Form 20-F.</t>
        </is>
      </c>
    </row>
    <row r="35" ht="42" customHeight="1">
      <c r="A35" s="32" t="inlineStr">
        <is>
          <t>F3</t>
        </is>
      </c>
      <c r="B35" s="32" t="inlineStr">
        <is>
          <t>Infineon: EUR → USD (FY2024)</t>
        </is>
      </c>
      <c r="C35" s="33" t="inlineStr">
        <is>
          <t>USD value = EUR value × 1.085</t>
        </is>
      </c>
      <c r="D35" s="32" t="inlineStr">
        <is>
          <t>Converts Infineon financials from Euro to USD. Infineon FY runs Oct 2023 – Sep 2024.</t>
        </is>
      </c>
      <c r="E35" s="34" t="inlineStr">
        <is>
          <t>Sheet "1 Raw Data" cell H13
Assumption A3: Sheet "10 Sources &amp; Assumptions" row 19</t>
        </is>
      </c>
      <c r="F35" s="32" t="inlineStr">
        <is>
          <t>Annual average EUR/USD exchange rate for Oct 2023 – Sep 2024 period [Approximated]</t>
        </is>
      </c>
      <c r="G35" s="32" t="inlineStr">
        <is>
          <t>⚠ [A] Verify vs. Infineon Annual Report 2024 stated average rate.</t>
        </is>
      </c>
    </row>
    <row r="36" ht="42" customHeight="1">
      <c r="A36" s="32" t="inlineStr">
        <is>
          <t>F4</t>
        </is>
      </c>
      <c r="B36" s="32" t="inlineStr">
        <is>
          <t>Infineon: EUR → USD (FY2023)</t>
        </is>
      </c>
      <c r="C36" s="33" t="inlineStr">
        <is>
          <t>USD value = EUR value × 1.082</t>
        </is>
      </c>
      <c r="D36" s="32" t="inlineStr">
        <is>
          <t>Prior-year Infineon conversion for two-period averages.</t>
        </is>
      </c>
      <c r="E36" s="34" t="inlineStr">
        <is>
          <t>Sheet "1 Raw Data" cell H13
Assumption A3: Sheet "10 Sources &amp; Assumptions" row 19</t>
        </is>
      </c>
      <c r="F36" s="32" t="inlineStr">
        <is>
          <t>Annual average EUR/USD exchange rate for Oct 2022 – Sep 2023 period [Approximated]</t>
        </is>
      </c>
      <c r="G36" s="32" t="inlineStr">
        <is>
          <t>⚠ [A] Verify vs. Infineon Annual Report 2023.</t>
        </is>
      </c>
    </row>
    <row r="37" ht="18" customHeight="1">
      <c r="A37" s="40" t="inlineStr">
        <is>
          <t>G — DERIVED / RECONSTRUCTED INPUTS  (Sheet: 1 Raw Data, col H)</t>
        </is>
      </c>
    </row>
    <row r="38" ht="42" customHeight="1">
      <c r="A38" s="32" t="inlineStr">
        <is>
          <t>G1</t>
        </is>
      </c>
      <c r="B38" s="32" t="inlineStr">
        <is>
          <t>COGS (where not directly stated)</t>
        </is>
      </c>
      <c r="C38" s="33" t="inlineStr">
        <is>
          <t>COGS = Revenue − Gross Profit</t>
        </is>
      </c>
      <c r="D38" s="32" t="inlineStr">
        <is>
          <t>Standard accounting identity. Used when COGS line is not separately disclosed on the P&amp;L.</t>
        </is>
      </c>
      <c r="E38" s="34" t="inlineStr">
        <is>
          <t>Sheet "1 Raw Data" col H (COGS Method)
Assumption A4: Sheet "10" row 20</t>
        </is>
      </c>
      <c r="F38" s="32" t="inlineStr">
        <is>
          <t>Company 10-K — Income Statement (Revenue and Gross Profit are always disclosed)</t>
        </is>
      </c>
      <c r="G38" s="32" t="inlineStr">
        <is>
          <t>Applied to: Intel (FY2024) and Micron (FY2023/FY2024). Result cross-checked against disclosed COGS where available.</t>
        </is>
      </c>
    </row>
    <row r="39" ht="42" customHeight="1">
      <c r="A39" s="32" t="inlineStr">
        <is>
          <t>G2</t>
        </is>
      </c>
      <c r="B39" s="32" t="inlineStr">
        <is>
          <t>Gross Margin (verification)</t>
        </is>
      </c>
      <c r="C39" s="33" t="inlineStr">
        <is>
          <t>Gross Margin % = Gross Profit / Revenue × 100
= (Revenue − COGS) / Revenue × 100</t>
        </is>
      </c>
      <c r="D39" s="32" t="inlineStr">
        <is>
          <t>Used to verify COGS figures against disclosed gross margin percentages in filings.</t>
        </is>
      </c>
      <c r="E39" s="34" t="inlineStr">
        <is>
          <t>Sheet "1 Raw Data" cols F–G</t>
        </is>
      </c>
      <c r="F39" s="32" t="inlineStr">
        <is>
          <t>10-K / 20-F Income Statement</t>
        </is>
      </c>
      <c r="G39" s="32" t="inlineStr">
        <is>
          <t>⚠ Intel FY2024 gross margin of 32.7% reflects $5.2B impairment in COGS (Assumption A5). ⚠ Micron FY2023 gross margin = −12.3% (gross loss).</t>
        </is>
      </c>
    </row>
    <row r="40" ht="42" customHeight="1">
      <c r="A40" s="32" t="inlineStr">
        <is>
          <t>G3</t>
        </is>
      </c>
      <c r="B40" s="32" t="inlineStr">
        <is>
          <t>TSMC OCF Estimate</t>
        </is>
      </c>
      <c r="C40" s="33" t="inlineStr">
        <is>
          <t>OCF (USD M) = OCF (NT$B) × 1,000 / FX rate
OCF ≈ NT$1,800B × 1,000 / 32.0 = $56,250M</t>
        </is>
      </c>
      <c r="D40" s="32" t="inlineStr">
        <is>
          <t>TSMC operating cash flow converted from NT$ to USD using annual average FX rate.</t>
        </is>
      </c>
      <c r="E40" s="34" t="inlineStr">
        <is>
          <t>Sheet "1 Raw Data" row 48 col I
Assumption A9: Sheet "10" row 25</t>
        </is>
      </c>
      <c r="F40" s="32" t="inlineStr">
        <is>
          <t>TSMC Form 20-F — Cash Flow Statement (NT$ figures) [Approximated]</t>
        </is>
      </c>
      <c r="G40" s="32" t="inlineStr">
        <is>
          <t>⚠ [A] Estimate based on NT$ filing. Verify exact USD figure vs. TSMC 20-F cash flow statement.</t>
        </is>
      </c>
    </row>
    <row r="42" ht="30" customHeight="1">
      <c r="A42" s="41" t="inlineStr">
        <is>
          <t>KEY DEFINITIONS  |  AR = Accounts Receivable (net)  |  AP = Accounts Payable (trade)  |  COGS = Cost of Goods Sold / Cost of Revenue  |  OCF = Net Cash from Operations  |  CY = Current Year  |  PY = Prior Year  |  [A] = Approximated value</t>
        </is>
      </c>
    </row>
    <row r="43" ht="30" customHeight="1">
      <c r="A43" s="41" t="inlineStr">
        <is>
          <t>PRIMARY DATA SOURCES  |  All raw financial data sourced from official SEC filings: 10-K (US companies) and 20-F (non-US: TSMC, NXP, STM) via SEC EDGAR.  See Sheet "10 Sources &amp; Assumptions" for full filing details, CIK numbers, and assumption log.</t>
        </is>
      </c>
    </row>
  </sheetData>
  <mergeCells count="10">
    <mergeCell ref="A32:G32"/>
    <mergeCell ref="A1:G1"/>
    <mergeCell ref="A9:G9"/>
    <mergeCell ref="A3:G3"/>
    <mergeCell ref="A37:G37"/>
    <mergeCell ref="A16:G16"/>
    <mergeCell ref="A42:G42"/>
    <mergeCell ref="A43:G43"/>
    <mergeCell ref="A28:G28"/>
    <mergeCell ref="A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80" customWidth="1" min="4" max="4"/>
    <col width="35" customWidth="1" min="5" max="5"/>
  </cols>
  <sheetData>
    <row r="1" ht="24" customHeight="1">
      <c r="A1" s="47" t="inlineStr">
        <is>
          <t>STEP 12 — COMPLETE URL REFERENCE LIST  |  All sources used in this benchmarking report  |  64 total reference URLs across 7 sections  |  All hyperlinks are clickable (Ctrl+Click in Excel)</t>
        </is>
      </c>
    </row>
    <row r="2" ht="28" customHeight="1">
      <c r="A2" s="30" t="inlineStr">
        <is>
          <t>#</t>
        </is>
      </c>
      <c r="B2" s="30" t="inlineStr">
        <is>
          <t>Category</t>
        </is>
      </c>
      <c r="C2" s="48" t="inlineStr">
        <is>
          <t>Description</t>
        </is>
      </c>
      <c r="D2" s="30" t="inlineStr">
        <is>
          <t>URL (clickable)</t>
        </is>
      </c>
      <c r="E2" s="30" t="inlineStr">
        <is>
          <t>Notes</t>
        </is>
      </c>
    </row>
    <row r="3" ht="18" customHeight="1">
      <c r="A3" s="31" t="inlineStr">
        <is>
          <t>A — PRIMARY FILINGS  (U.S. SEC EDGAR — Annual Reports)</t>
        </is>
      </c>
    </row>
    <row r="4" ht="48" customHeight="1">
      <c r="A4" s="32" t="inlineStr">
        <is>
          <t>A1</t>
        </is>
      </c>
      <c r="B4" s="32" t="inlineStr">
        <is>
          <t>SEC 10-K (NVIDIA)</t>
        </is>
      </c>
      <c r="C4" s="49" t="inlineStr">
        <is>
          <t>NVIDIA Corporation — Form 10-K FY2025 (fiscal year ended Jan 26, 2025). Source of Revenue, COGS, AR, Inventory, AP, OCF for NVDA.</t>
        </is>
      </c>
      <c r="D4" s="50" t="inlineStr">
        <is>
          <t>EDGAR — NVIDIA 10-K filings (CIK 1045810)</t>
        </is>
      </c>
      <c r="E4" s="32" t="inlineStr">
        <is>
          <t>CIK: 0001045810</t>
        </is>
      </c>
    </row>
    <row r="5" ht="48" customHeight="1">
      <c r="A5" s="32" t="inlineStr">
        <is>
          <t>A2</t>
        </is>
      </c>
      <c r="B5" s="32" t="inlineStr">
        <is>
          <t>SEC 10-K (AMD)</t>
        </is>
      </c>
      <c r="C5" s="49" t="inlineStr">
        <is>
          <t>Advanced Micro Devices — Form 10-K FY2024 (fiscal year ended Dec 28, 2024). Source of Revenue, COGS, AR, Inventory, AP, OCF for AMD.</t>
        </is>
      </c>
      <c r="D5" s="50" t="inlineStr">
        <is>
          <t>EDGAR — AMD 10-K filings (CIK 2488)</t>
        </is>
      </c>
      <c r="E5" s="32" t="inlineStr">
        <is>
          <t>CIK: 0000002488</t>
        </is>
      </c>
    </row>
    <row r="6" ht="48" customHeight="1">
      <c r="A6" s="32" t="inlineStr">
        <is>
          <t>A3</t>
        </is>
      </c>
      <c r="B6" s="32" t="inlineStr">
        <is>
          <t>SEC 10-K (Intel)</t>
        </is>
      </c>
      <c r="C6" s="49" t="inlineStr">
        <is>
          <t>Intel Corporation — Form 10-K FY2024 (fiscal year ended Dec 28, 2024). Note: COGS includes ~$5.2B asset impairment charge (not adjusted in this report).</t>
        </is>
      </c>
      <c r="D6" s="50" t="inlineStr">
        <is>
          <t>EDGAR — Intel 10-K filings (CIK 50863)</t>
        </is>
      </c>
      <c r="E6" s="32" t="inlineStr">
        <is>
          <t>CIK: 0000050863</t>
        </is>
      </c>
    </row>
    <row r="7" ht="48" customHeight="1">
      <c r="A7" s="32" t="inlineStr">
        <is>
          <t>A4</t>
        </is>
      </c>
      <c r="B7" s="32" t="inlineStr">
        <is>
          <t>SEC 10-K (Texas Instruments)</t>
        </is>
      </c>
      <c r="C7" s="49" t="inlineStr">
        <is>
          <t>Texas Instruments Incorporated — Form 10-K FY2024 (fiscal year ended Dec 31, 2024). DIO elevated due to management-guided strategic inventory build (20–25 weeks target).</t>
        </is>
      </c>
      <c r="D7" s="50" t="inlineStr">
        <is>
          <t>EDGAR — Texas Instruments 10-K filings (CIK 97476)</t>
        </is>
      </c>
      <c r="E7" s="32" t="inlineStr">
        <is>
          <t>CIK: 0000097476</t>
        </is>
      </c>
    </row>
    <row r="8" ht="48" customHeight="1">
      <c r="A8" s="32" t="inlineStr">
        <is>
          <t>A5</t>
        </is>
      </c>
      <c r="B8" s="32" t="inlineStr">
        <is>
          <t>SEC 10-K (Qualcomm)</t>
        </is>
      </c>
      <c r="C8" s="49" t="inlineStr">
        <is>
          <t>Qualcomm Incorporated — Form 10-K FY2024 (fiscal year ended Sep 29, 2024; FY = Oct–Sep). Best-in-class CCC (22.1d) and DIO (54.3d) in this peer group.</t>
        </is>
      </c>
      <c r="D8" s="50" t="inlineStr">
        <is>
          <t>EDGAR — Qualcomm 10-K filings (CIK 804328)</t>
        </is>
      </c>
      <c r="E8" s="32" t="inlineStr">
        <is>
          <t>CIK: 0000804328</t>
        </is>
      </c>
    </row>
    <row r="9" ht="48" customHeight="1">
      <c r="A9" s="32" t="inlineStr">
        <is>
          <t>A6</t>
        </is>
      </c>
      <c r="B9" s="32" t="inlineStr">
        <is>
          <t>SEC 20-F (NXP Semiconductors)</t>
        </is>
      </c>
      <c r="C9" s="49" t="inlineStr">
        <is>
          <t>NXP Semiconductors N.V. — Form 20-F FY2024 (fiscal year ended Dec 31, 2024). Reports under US GAAP in USD. Best IDM in peer group (CCC ≈ 100d).</t>
        </is>
      </c>
      <c r="D9" s="50" t="inlineStr">
        <is>
          <t>EDGAR — NXP Semiconductors 20-F filings (CIK 1413447)</t>
        </is>
      </c>
      <c r="E9" s="32" t="inlineStr">
        <is>
          <t>CIK: 0001413447</t>
        </is>
      </c>
    </row>
    <row r="10" ht="48" customHeight="1">
      <c r="A10" s="32" t="inlineStr">
        <is>
          <t>A7</t>
        </is>
      </c>
      <c r="B10" s="32" t="inlineStr">
        <is>
          <t>SEC 20-F (TSMC)</t>
        </is>
      </c>
      <c r="C10" s="49" t="inlineStr">
        <is>
          <t>Taiwan Semiconductor Manufacturing Company Ltd — Form 20-F FY2024 (fiscal year ended Dec 31, 2024). Reported in New Taiwan Dollars (TWD); converted to USD at 32.0 TWD/USD (FY2024) and 31.1 TWD/USD (FY2023).</t>
        </is>
      </c>
      <c r="D10" s="50" t="inlineStr">
        <is>
          <t>EDGAR — TSMC 20-F filings (CIK 1046179)</t>
        </is>
      </c>
      <c r="E10" s="32" t="inlineStr">
        <is>
          <t>CIK: 0001046179</t>
        </is>
      </c>
    </row>
    <row r="11" ht="48" customHeight="1">
      <c r="A11" s="32" t="inlineStr">
        <is>
          <t>A8</t>
        </is>
      </c>
      <c r="B11" s="32" t="inlineStr">
        <is>
          <t>SEC 10-K (Micron Technology)</t>
        </is>
      </c>
      <c r="C11" s="49" t="inlineStr">
        <is>
          <t>Micron Technology Inc — Form 10-K FY2024 (fiscal year ended Aug 29, 2024; FY = Sep–Aug). FY2023 had negative gross profit (memory price collapse); DIO is cyclically distorted.</t>
        </is>
      </c>
      <c r="D11" s="50" t="inlineStr">
        <is>
          <t>EDGAR — Micron Technology 10-K filings (CIK 723125)</t>
        </is>
      </c>
      <c r="E11" s="32" t="inlineStr">
        <is>
          <t>CIK: 0000723125</t>
        </is>
      </c>
    </row>
    <row r="12" ht="48" customHeight="1">
      <c r="A12" s="32" t="inlineStr">
        <is>
          <t>A9</t>
        </is>
      </c>
      <c r="B12" s="32" t="inlineStr">
        <is>
          <t>SEC 20-F (STMicroelectronics)</t>
        </is>
      </c>
      <c r="C12" s="49" t="inlineStr">
        <is>
          <t>STMicroelectronics N.V. — Form 20-F FY2024 (fiscal year ended Dec 31, 2024). Reports under IFRS in USD.</t>
        </is>
      </c>
      <c r="D12" s="50" t="inlineStr">
        <is>
          <t>EDGAR — STMicroelectronics 20-F filings (CIK 912093)</t>
        </is>
      </c>
      <c r="E12" s="32" t="inlineStr">
        <is>
          <t>CIK: 0000912093</t>
        </is>
      </c>
    </row>
    <row r="13" ht="48" customHeight="1">
      <c r="A13" s="32" t="inlineStr">
        <is>
          <t>A10</t>
        </is>
      </c>
      <c r="B13" s="32" t="inlineStr">
        <is>
          <t>Annual Report (Infineon)</t>
        </is>
      </c>
      <c r="C13" s="49" t="inlineStr">
        <is>
          <t>Infineon Technologies AG — Annual Report FY2024 (fiscal year ended Sep 30, 2024; FY = Oct–Sep). Reports under IFRS in EUR; converted to USD at 1.085 USD/EUR (FY2024) and 1.082 (FY2023).</t>
        </is>
      </c>
      <c r="D13" s="50" t="inlineStr">
        <is>
          <t>Infineon Annual Report 2024 (Investor Relations)</t>
        </is>
      </c>
      <c r="E13" s="32" t="inlineStr">
        <is>
          <t>Also filed on SEC EDGAR (CIK varies by year)</t>
        </is>
      </c>
    </row>
    <row r="14" ht="18" customHeight="1">
      <c r="A14" s="35" t="inlineStr">
        <is>
          <t>B — SEC EDGAR FULL-TEXT SEARCH &amp; COMPANY PAGES</t>
        </is>
      </c>
    </row>
    <row r="15" ht="48" customHeight="1">
      <c r="A15" s="32" t="inlineStr">
        <is>
          <t>B1</t>
        </is>
      </c>
      <c r="B15" s="32" t="inlineStr">
        <is>
          <t>SEC EDGAR Full-Text Search</t>
        </is>
      </c>
      <c r="C15" s="49" t="inlineStr">
        <is>
          <t>EDGAR EFTS allows searching all filing text. Use to locate specific line-items (e.g., "accounts receivable", "inventories") within any 10-K or 20-F.</t>
        </is>
      </c>
      <c r="D15" s="50" t="inlineStr">
        <is>
          <t>EDGAR Full-Text Search (EFTS)</t>
        </is>
      </c>
      <c r="E15" s="32" t="inlineStr">
        <is>
          <t>Replace search term in URL as needed</t>
        </is>
      </c>
    </row>
    <row r="16" ht="48" customHeight="1">
      <c r="A16" s="32" t="inlineStr">
        <is>
          <t>B2</t>
        </is>
      </c>
      <c r="B16" s="32" t="inlineStr">
        <is>
          <t>SEC EDGAR Company Search</t>
        </is>
      </c>
      <c r="C16" s="49" t="inlineStr">
        <is>
          <t>Search any public company by name or CIK number to find all SEC filings.</t>
        </is>
      </c>
      <c r="D16" s="50" t="inlineStr">
        <is>
          <t>EDGAR Company Search Portal</t>
        </is>
      </c>
      <c r="E16" s="32" t="inlineStr">
        <is>
          <t>General company search portal</t>
        </is>
      </c>
    </row>
    <row r="17" ht="48" customHeight="1">
      <c r="A17" s="32" t="inlineStr">
        <is>
          <t>B3</t>
        </is>
      </c>
      <c r="B17" s="32" t="inlineStr">
        <is>
          <t>SEC EDGAR Full-Text Filing Search (EFTS)</t>
        </is>
      </c>
      <c r="C17" s="49" t="inlineStr">
        <is>
          <t>Primary interface for searching filings by keyword, form type, and date range.</t>
        </is>
      </c>
      <c r="D17" s="50" t="inlineStr">
        <is>
          <t>EDGAR EFTS — 10-K / 20-F Filing Search (2024–2025)</t>
        </is>
      </c>
      <c r="E17" s="32" t="inlineStr">
        <is>
          <t>10-K and 20-F filings 2024–2025</t>
        </is>
      </c>
    </row>
    <row r="18" ht="18" customHeight="1">
      <c r="A18" s="37" t="inlineStr">
        <is>
          <t>C — COMPANY INVESTOR RELATIONS PAGES  (Official IR websites)</t>
        </is>
      </c>
    </row>
    <row r="19" ht="42" customHeight="1">
      <c r="A19" s="32" t="inlineStr">
        <is>
          <t>C1</t>
        </is>
      </c>
      <c r="B19" s="32" t="inlineStr">
        <is>
          <t>NVIDIA Investor Relations</t>
        </is>
      </c>
      <c r="C19" s="49" t="inlineStr">
        <is>
          <t>NVIDIA IR page — access to all annual reports, 10-K filings, earnings releases, and financial data tables.</t>
        </is>
      </c>
      <c r="D19" s="50" t="inlineStr">
        <is>
          <t>NVIDIA Investor Relations — Annual Reports</t>
        </is>
      </c>
      <c r="E19" s="32" t="inlineStr">
        <is>
          <t>Annual reports &amp; SEC filings</t>
        </is>
      </c>
    </row>
    <row r="20" ht="42" customHeight="1">
      <c r="A20" s="32" t="inlineStr">
        <is>
          <t>C2</t>
        </is>
      </c>
      <c r="B20" s="32" t="inlineStr">
        <is>
          <t>AMD Investor Relations</t>
        </is>
      </c>
      <c r="C20" s="49" t="inlineStr">
        <is>
          <t>AMD IR page — annual reports, 10-K, quarterly results.</t>
        </is>
      </c>
      <c r="D20" s="50" t="inlineStr">
        <is>
          <t>AMD Investor Relations — Annual Reports</t>
        </is>
      </c>
      <c r="E20" s="32" t="inlineStr">
        <is>
          <t>Annual reports &amp; SEC filings</t>
        </is>
      </c>
    </row>
    <row r="21" ht="42" customHeight="1">
      <c r="A21" s="32" t="inlineStr">
        <is>
          <t>C3</t>
        </is>
      </c>
      <c r="B21" s="32" t="inlineStr">
        <is>
          <t>Intel Investor Relations</t>
        </is>
      </c>
      <c r="C21" s="49" t="inlineStr">
        <is>
          <t>Intel IR page — annual reports, 10-K, earnings releases.</t>
        </is>
      </c>
      <c r="D21" s="50" t="inlineStr">
        <is>
          <t>Intel Investor Relations — Annual Reports</t>
        </is>
      </c>
      <c r="E21" s="32" t="inlineStr">
        <is>
          <t>Annual reports &amp; SEC filings</t>
        </is>
      </c>
    </row>
    <row r="22" ht="42" customHeight="1">
      <c r="A22" s="32" t="inlineStr">
        <is>
          <t>C4</t>
        </is>
      </c>
      <c r="B22" s="32" t="inlineStr">
        <is>
          <t>Texas Instruments Investor Relations</t>
        </is>
      </c>
      <c r="C22" s="49" t="inlineStr">
        <is>
          <t>TXN IR page — annual report, 10-K, earnings releases, capital allocation policy.</t>
        </is>
      </c>
      <c r="D22" s="50" t="inlineStr">
        <is>
          <t>Texas Instruments Investor Relations — Annual Reports</t>
        </is>
      </c>
      <c r="E22" s="32" t="inlineStr">
        <is>
          <t>Annual reports &amp; SEC filings</t>
        </is>
      </c>
    </row>
    <row r="23" ht="42" customHeight="1">
      <c r="A23" s="32" t="inlineStr">
        <is>
          <t>C5</t>
        </is>
      </c>
      <c r="B23" s="32" t="inlineStr">
        <is>
          <t>Qualcomm Investor Relations</t>
        </is>
      </c>
      <c r="C23" s="49" t="inlineStr">
        <is>
          <t>QCOM IR page — annual report, 10-K, quarterly earnings, supply-chain disclosures.</t>
        </is>
      </c>
      <c r="D23" s="50" t="inlineStr">
        <is>
          <t>Qualcomm Investor Relations — Annual Reports</t>
        </is>
      </c>
      <c r="E23" s="32" t="inlineStr">
        <is>
          <t>Annual reports &amp; SEC filings</t>
        </is>
      </c>
    </row>
    <row r="24" ht="42" customHeight="1">
      <c r="A24" s="32" t="inlineStr">
        <is>
          <t>C6</t>
        </is>
      </c>
      <c r="B24" s="32" t="inlineStr">
        <is>
          <t>NXP Semiconductors Investor Relations</t>
        </is>
      </c>
      <c r="C24" s="49" t="inlineStr">
        <is>
          <t>NXPI IR page — annual report, 20-F, earnings releases.</t>
        </is>
      </c>
      <c r="D24" s="50" t="inlineStr">
        <is>
          <t>NXP Semiconductors Investor Relations — Annual Reports</t>
        </is>
      </c>
      <c r="E24" s="32" t="inlineStr">
        <is>
          <t>Annual reports &amp; SEC filings</t>
        </is>
      </c>
    </row>
    <row r="25" ht="42" customHeight="1">
      <c r="A25" s="32" t="inlineStr">
        <is>
          <t>C7</t>
        </is>
      </c>
      <c r="B25" s="32" t="inlineStr">
        <is>
          <t>TSMC Investor Relations</t>
        </is>
      </c>
      <c r="C25" s="49" t="inlineStr">
        <is>
          <t>TSM IR page — annual report, 20-F, earnings, capacity disclosures.</t>
        </is>
      </c>
      <c r="D25" s="50" t="inlineStr">
        <is>
          <t>TSMC Investor Relations — Annual Reports</t>
        </is>
      </c>
      <c r="E25" s="32" t="inlineStr">
        <is>
          <t>Annual reports &amp; SEC filings</t>
        </is>
      </c>
    </row>
    <row r="26" ht="42" customHeight="1">
      <c r="A26" s="32" t="inlineStr">
        <is>
          <t>C8</t>
        </is>
      </c>
      <c r="B26" s="32" t="inlineStr">
        <is>
          <t>Micron Technology Investor Relations</t>
        </is>
      </c>
      <c r="C26" s="49" t="inlineStr">
        <is>
          <t>MU IR page — annual report, 10-K, earnings releases.</t>
        </is>
      </c>
      <c r="D26" s="50" t="inlineStr">
        <is>
          <t>Micron Technology Investor Relations — Annual Reports</t>
        </is>
      </c>
      <c r="E26" s="32" t="inlineStr">
        <is>
          <t>Annual reports &amp; SEC filings</t>
        </is>
      </c>
    </row>
    <row r="27" ht="42" customHeight="1">
      <c r="A27" s="32" t="inlineStr">
        <is>
          <t>C9</t>
        </is>
      </c>
      <c r="B27" s="32" t="inlineStr">
        <is>
          <t>STMicroelectronics Investor Relations</t>
        </is>
      </c>
      <c r="C27" s="49" t="inlineStr">
        <is>
          <t>STM IR page — annual report, 20-F, earnings releases.</t>
        </is>
      </c>
      <c r="D27" s="50" t="inlineStr">
        <is>
          <t>STMicroelectronics Investor Relations — Annual Reports</t>
        </is>
      </c>
      <c r="E27" s="32" t="inlineStr">
        <is>
          <t>Annual reports &amp; SEC filings</t>
        </is>
      </c>
    </row>
    <row r="28" ht="42" customHeight="1">
      <c r="A28" s="32" t="inlineStr">
        <is>
          <t>C10</t>
        </is>
      </c>
      <c r="B28" s="32" t="inlineStr">
        <is>
          <t>Infineon Technologies Investor Relations</t>
        </is>
      </c>
      <c r="C28" s="49" t="inlineStr">
        <is>
          <t>IFX IR page — annual report, earnings releases, sustainability report.</t>
        </is>
      </c>
      <c r="D28" s="50" t="inlineStr">
        <is>
          <t>Infineon Technologies Investor Relations — Annual Report</t>
        </is>
      </c>
      <c r="E28" s="32" t="inlineStr">
        <is>
          <t>Annual report &amp; SEC filings</t>
        </is>
      </c>
    </row>
    <row r="29" ht="18" customHeight="1">
      <c r="A29" s="36" t="inlineStr">
        <is>
          <t>D — FOREIGN EXCHANGE RATE DATA SOURCES  (TWD/USD and EUR/USD)</t>
        </is>
      </c>
    </row>
    <row r="30" ht="48" customHeight="1">
      <c r="A30" s="32" t="inlineStr">
        <is>
          <t>D1</t>
        </is>
      </c>
      <c r="B30" s="32" t="inlineStr">
        <is>
          <t>Federal Reserve H.10 Release — Foreign Exchange Rates</t>
        </is>
      </c>
      <c r="C30" s="49" t="inlineStr">
        <is>
          <t>US Federal Reserve official annual average exchange rate data. Used for TWD/USD annual average verification (FY2024: 32.0, FY2023: 31.1 TWD/USD).</t>
        </is>
      </c>
      <c r="D30" s="50" t="inlineStr">
        <is>
          <t>Federal Reserve H.10 Release — Summary of Daily Exchange Rates</t>
        </is>
      </c>
      <c r="E30" s="32" t="inlineStr">
        <is>
          <t>Official Fed FX data — TWD/USD</t>
        </is>
      </c>
    </row>
    <row r="31" ht="48" customHeight="1">
      <c r="A31" s="32" t="inlineStr">
        <is>
          <t>D2</t>
        </is>
      </c>
      <c r="B31" s="32" t="inlineStr">
        <is>
          <t>Federal Reserve H.10 — Historical Data (Annual)</t>
        </is>
      </c>
      <c r="C31" s="49" t="inlineStr">
        <is>
          <t>Historical annual average exchange rates for major currencies against USD, published by the Federal Reserve Board.</t>
        </is>
      </c>
      <c r="D31" s="50" t="inlineStr">
        <is>
          <t>Federal Reserve H.10 — Historical Annual Average Rates</t>
        </is>
      </c>
      <c r="E31" s="32" t="inlineStr">
        <is>
          <t>Historical annual FX rates</t>
        </is>
      </c>
    </row>
    <row r="32" ht="48" customHeight="1">
      <c r="A32" s="32" t="inlineStr">
        <is>
          <t>D3</t>
        </is>
      </c>
      <c r="B32" s="32" t="inlineStr">
        <is>
          <t>European Central Bank — EUR/USD Reference Rates</t>
        </is>
      </c>
      <c r="C32" s="49" t="inlineStr">
        <is>
          <t>ECB official EUR/USD reference rates. Used for Infineon EUR→USD conversion (FY2024: 1.085 USD/EUR; FY2023: 1.082 USD/EUR average).</t>
        </is>
      </c>
      <c r="D32" s="50" t="inlineStr">
        <is>
          <t>European Central Bank — EUR/USD Daily Reference Rates</t>
        </is>
      </c>
      <c r="E32" s="32" t="inlineStr">
        <is>
          <t>ECB EUR/USD daily &amp; annual averages</t>
        </is>
      </c>
    </row>
    <row r="33" ht="48" customHeight="1">
      <c r="A33" s="32" t="inlineStr">
        <is>
          <t>D4</t>
        </is>
      </c>
      <c r="B33" s="32" t="inlineStr">
        <is>
          <t>TSMC Annual Report — Stated FX Rate</t>
        </is>
      </c>
      <c r="C33" s="49" t="inlineStr">
        <is>
          <t>TSMC Form 20-F contains the company's own stated average TWD/USD translation rate (the authoritative source; verify against this for the [A] approximation used here).</t>
        </is>
      </c>
      <c r="D33" s="50" t="inlineStr">
        <is>
          <t>EDGAR — TSMC 20-F (stated FX rate in notes to financial statements)</t>
        </is>
      </c>
      <c r="E33" s="32" t="inlineStr">
        <is>
          <t>See 20-F notes to financial statements</t>
        </is>
      </c>
    </row>
    <row r="34" ht="48" customHeight="1">
      <c r="A34" s="32" t="inlineStr">
        <is>
          <t>D5</t>
        </is>
      </c>
      <c r="B34" s="32" t="inlineStr">
        <is>
          <t>Infineon Annual Report — Stated FX Rate</t>
        </is>
      </c>
      <c r="C34" s="49" t="inlineStr">
        <is>
          <t>Infineon Annual Report 2024 contains the company's own stated average EUR/USD rate (verify [A] approximation against this).</t>
        </is>
      </c>
      <c r="D34" s="50" t="inlineStr">
        <is>
          <t>Infineon Annual Report 2024 (stated EUR/USD rate in financial statements)</t>
        </is>
      </c>
      <c r="E34" s="32" t="inlineStr">
        <is>
          <t>See notes to financial statements</t>
        </is>
      </c>
    </row>
    <row r="35" ht="18" customHeight="1">
      <c r="A35" s="39" t="inlineStr">
        <is>
          <t>E — FORMULA &amp; METHODOLOGY REFERENCES  (DSO, DIO, DPO, CCC, NWC, Scoring)</t>
        </is>
      </c>
    </row>
    <row r="36" ht="48" customHeight="1">
      <c r="A36" s="32" t="inlineStr">
        <is>
          <t>E1</t>
        </is>
      </c>
      <c r="B36" s="32" t="inlineStr">
        <is>
          <t>CFA Institute — Working Capital Management</t>
        </is>
      </c>
      <c r="C36" s="49" t="inlineStr">
        <is>
          <t>CFA Level 1 &amp; 2 curriculum defines DSO, DIO, DPO, CCC, and NWC ratios as used in this report. Formulas: DSO = Avg AR / (Revenue/365); DIO = Avg Inv / (COGS/365); DPO = Avg AP / (COGS/365); CCC = DSO + DIO − DPO.</t>
        </is>
      </c>
      <c r="D36" s="50" t="inlineStr">
        <is>
          <t>CFA Institute — Working Capital Management (Refresher Reading)</t>
        </is>
      </c>
      <c r="E36" s="32" t="inlineStr">
        <is>
          <t>Primary methodology source</t>
        </is>
      </c>
    </row>
    <row r="37" ht="48" customHeight="1">
      <c r="A37" s="32" t="inlineStr">
        <is>
          <t>E2</t>
        </is>
      </c>
      <c r="B37" s="32" t="inlineStr">
        <is>
          <t>Investopedia — Cash Conversion Cycle</t>
        </is>
      </c>
      <c r="C37" s="49" t="inlineStr">
        <is>
          <t>Clear definition and worked examples for CCC = DSO + DIO − DPO. Also covers interpretation: negative CCC examples (Amazon, Dell).</t>
        </is>
      </c>
      <c r="D37" s="50" t="inlineStr">
        <is>
          <t>Investopedia — Cash Conversion Cycle (CCC)</t>
        </is>
      </c>
      <c r="E37" s="32" t="inlineStr">
        <is>
          <t>CCC definition &amp; examples</t>
        </is>
      </c>
    </row>
    <row r="38" ht="48" customHeight="1">
      <c r="A38" s="32" t="inlineStr">
        <is>
          <t>E3</t>
        </is>
      </c>
      <c r="B38" s="32" t="inlineStr">
        <is>
          <t>Investopedia — Days Sales Outstanding (DSO)</t>
        </is>
      </c>
      <c r="C38" s="49" t="inlineStr">
        <is>
          <t>DSO formula: DSO = (Accounts Receivable / Revenue) × Number of Days. Discussion of two-period average vs. single-period method.</t>
        </is>
      </c>
      <c r="D38" s="50" t="inlineStr">
        <is>
          <t>Investopedia — Days Sales Outstanding (DSO)</t>
        </is>
      </c>
      <c r="E38" s="32" t="inlineStr">
        <is>
          <t>DSO definition</t>
        </is>
      </c>
    </row>
    <row r="39" ht="48" customHeight="1">
      <c r="A39" s="32" t="inlineStr">
        <is>
          <t>E4</t>
        </is>
      </c>
      <c r="B39" s="32" t="inlineStr">
        <is>
          <t>Investopedia — Days Inventory Outstanding (DIO)</t>
        </is>
      </c>
      <c r="C39" s="49" t="inlineStr">
        <is>
          <t>DIO = (Average Inventory / COGS) × 365. Discussion of impact of seasonality and strategic builds.</t>
        </is>
      </c>
      <c r="D39" s="50" t="inlineStr">
        <is>
          <t>Investopedia — Days Inventory Outstanding / Days Sales of Inventory (DIO/DSI)</t>
        </is>
      </c>
      <c r="E39" s="32" t="inlineStr">
        <is>
          <t>DIO / DSI definition</t>
        </is>
      </c>
    </row>
    <row r="40" ht="48" customHeight="1">
      <c r="A40" s="32" t="inlineStr">
        <is>
          <t>E5</t>
        </is>
      </c>
      <c r="B40" s="32" t="inlineStr">
        <is>
          <t>Investopedia — Days Payable Outstanding (DPO)</t>
        </is>
      </c>
      <c r="C40" s="49" t="inlineStr">
        <is>
          <t>DPO = (Accounts Payable / COGS) × 365. Higher DPO = longer supplier payment terms = more free cash.</t>
        </is>
      </c>
      <c r="D40" s="50" t="inlineStr">
        <is>
          <t>Investopedia — Days Payable Outstanding (DPO)</t>
        </is>
      </c>
      <c r="E40" s="32" t="inlineStr">
        <is>
          <t>DPO definition</t>
        </is>
      </c>
    </row>
    <row r="41" ht="48" customHeight="1">
      <c r="A41" s="32" t="inlineStr">
        <is>
          <t>E6</t>
        </is>
      </c>
      <c r="B41" s="32" t="inlineStr">
        <is>
          <t>Investopedia — Net Working Capital (NWC)</t>
        </is>
      </c>
      <c r="C41" s="49" t="inlineStr">
        <is>
          <t>NWC = Current Assets − Current Liabilities. Operating NWC = AR + Inventory − AP. NWC% = Operating NWC / Revenue × 100.</t>
        </is>
      </c>
      <c r="D41" s="50" t="inlineStr">
        <is>
          <t>Investopedia — Net Working Capital (NWC)</t>
        </is>
      </c>
      <c r="E41" s="32" t="inlineStr">
        <is>
          <t>WC &amp; NWC definitions</t>
        </is>
      </c>
    </row>
    <row r="42" ht="48" customHeight="1">
      <c r="A42" s="32" t="inlineStr">
        <is>
          <t>E7</t>
        </is>
      </c>
      <c r="B42" s="32" t="inlineStr">
        <is>
          <t>Investopedia — Current Ratio</t>
        </is>
      </c>
      <c r="C42" s="49" t="inlineStr">
        <is>
          <t>Current Ratio = Current Assets / Current Liabilities. Measures ability to pay short-term obligations.</t>
        </is>
      </c>
      <c r="D42" s="50" t="inlineStr">
        <is>
          <t>Investopedia — Current Ratio</t>
        </is>
      </c>
      <c r="E42" s="32" t="inlineStr">
        <is>
          <t>Current Ratio definition</t>
        </is>
      </c>
    </row>
    <row r="43" ht="48" customHeight="1">
      <c r="A43" s="32" t="inlineStr">
        <is>
          <t>E8</t>
        </is>
      </c>
      <c r="B43" s="32" t="inlineStr">
        <is>
          <t>Investopedia — Operating Cash Flow Ratio</t>
        </is>
      </c>
      <c r="C43" s="49" t="inlineStr">
        <is>
          <t>CRR (Cash Return Ratio) = OCF / Revenue × 100. Also known as operating cash flow margin.</t>
        </is>
      </c>
      <c r="D43" s="50" t="inlineStr">
        <is>
          <t>Investopedia — Operating Cash Flow Margin (CRR)</t>
        </is>
      </c>
      <c r="E43" s="32" t="inlineStr">
        <is>
          <t>OCF / CRR definition</t>
        </is>
      </c>
    </row>
    <row r="44" ht="48" customHeight="1">
      <c r="A44" s="32" t="inlineStr">
        <is>
          <t>E9</t>
        </is>
      </c>
      <c r="B44" s="32" t="inlineStr">
        <is>
          <t>FASB ASC 210 — Balance Sheet (US GAAP)</t>
        </is>
      </c>
      <c r="C44" s="49" t="inlineStr">
        <is>
          <t>U.S. GAAP guidance on classification of current assets and liabilities. Governs presentation of AR, Inventory, AP for 10-K companies.</t>
        </is>
      </c>
      <c r="D44" s="50" t="inlineStr">
        <is>
          <t>FASB Accounting Standards Codification — ASC 210 (Balance Sheet)</t>
        </is>
      </c>
      <c r="E44" s="32" t="inlineStr">
        <is>
          <t>US GAAP — Balance Sheet classification</t>
        </is>
      </c>
    </row>
    <row r="45" ht="48" customHeight="1">
      <c r="A45" s="32" t="inlineStr">
        <is>
          <t>E10</t>
        </is>
      </c>
      <c r="B45" s="32" t="inlineStr">
        <is>
          <t>IFRS IAS 1 — Presentation of Financial Statements</t>
        </is>
      </c>
      <c r="C45" s="49" t="inlineStr">
        <is>
          <t>IFRS standard governing balance sheet classification (current / non-current). Applies to TSMC, NXP, STM, Infineon (IFRS reporters in this peer group).</t>
        </is>
      </c>
      <c r="D45" s="50" t="inlineStr">
        <is>
          <t>IFRS Foundation — IAS 1 Presentation of Financial Statements</t>
        </is>
      </c>
      <c r="E45" s="32" t="inlineStr">
        <is>
          <t>IFRS — Balance Sheet classification</t>
        </is>
      </c>
    </row>
    <row r="46" ht="48" customHeight="1">
      <c r="A46" s="32" t="inlineStr">
        <is>
          <t>E11</t>
        </is>
      </c>
      <c r="B46" s="32" t="inlineStr">
        <is>
          <t>IFRS IAS 2 — Inventories</t>
        </is>
      </c>
      <c r="C46" s="49" t="inlineStr">
        <is>
          <t>IFRS standard for inventory measurement and disclosure. Defines cost formulas (FIFO, weighted average) used by IFRS reporters in this group.</t>
        </is>
      </c>
      <c r="D46" s="50" t="inlineStr">
        <is>
          <t>IFRS Foundation — IAS 2 Inventories</t>
        </is>
      </c>
      <c r="E46" s="32" t="inlineStr">
        <is>
          <t>IFRS — Inventory accounting</t>
        </is>
      </c>
    </row>
    <row r="47" ht="48" customHeight="1">
      <c r="A47" s="32" t="inlineStr">
        <is>
          <t>E12</t>
        </is>
      </c>
      <c r="B47" s="32" t="inlineStr">
        <is>
          <t>Semiconductor Industry Association (SIA) — Annual State of the Industry</t>
        </is>
      </c>
      <c r="C47" s="49" t="inlineStr">
        <is>
          <t>Industry context: global semiconductor market data, fab capacity trends, and demand cycles referenced in the business model commentary (Sheet 8).</t>
        </is>
      </c>
      <c r="D47" s="50" t="inlineStr">
        <is>
          <t>Semiconductor Industry Association (SIA) — Industry Statistics</t>
        </is>
      </c>
      <c r="E47" s="32" t="inlineStr">
        <is>
          <t>Industry context &amp; market data</t>
        </is>
      </c>
    </row>
    <row r="48" ht="48" customHeight="1">
      <c r="A48" s="32" t="inlineStr">
        <is>
          <t>E13</t>
        </is>
      </c>
      <c r="B48" s="32" t="inlineStr">
        <is>
          <t>McKinsey — Working Capital Management in Semiconductors</t>
        </is>
      </c>
      <c r="C48" s="49" t="inlineStr">
        <is>
          <t>Industry practice benchmarks for NWC optimisation in the semiconductor sector. Basis for recommended strategies in Sheet 7 (NWC Strategy).</t>
        </is>
      </c>
      <c r="D48" s="50" t="inlineStr">
        <is>
          <t>McKinsey &amp; Company — The Power of Working Capital</t>
        </is>
      </c>
      <c r="E48" s="32" t="inlineStr">
        <is>
          <t>WC strategy best practice</t>
        </is>
      </c>
    </row>
    <row r="49" ht="48" customHeight="1">
      <c r="A49" s="32" t="inlineStr">
        <is>
          <t>E14</t>
        </is>
      </c>
      <c r="B49" s="32" t="inlineStr">
        <is>
          <t>Taulia — Supply Chain Finance / Reverse Factoring</t>
        </is>
      </c>
      <c r="C49" s="49" t="inlineStr">
        <is>
          <t>Background on reverse factoring (supplier finance) programmes referenced in NWC strategy recommendations for extending DPO (Sheet 7).</t>
        </is>
      </c>
      <c r="D49" s="50" t="inlineStr">
        <is>
          <t>Taulia — Supply Chain Finance / Reverse Factoring</t>
        </is>
      </c>
      <c r="E49" s="32" t="inlineStr">
        <is>
          <t>Reverse factoring / SCF reference</t>
        </is>
      </c>
    </row>
    <row r="50"/>
    <row r="51" ht="42" customHeight="1">
      <c r="A51" s="45" t="inlineStr">
        <is>
          <t>NOTE: All SEC EDGAR URLs link to the company's filing index page where the specific 10-K or 20-F can be located. For direct document links, navigate to the filing index and select the primary document (usually the .htm or .pdf file). FX rate approximations marked [A] should be verified against the company's own stated rates in their annual report notes.</t>
        </is>
      </c>
    </row>
    <row r="52"/>
    <row r="53">
      <c r="A53" s="51" t="inlineStr">
        <is>
          <t>F — DIRECT EDGAR EFTS PER-COMPANY FILING SEARCH  (Full-text search for each company's latest 10-K / 20-F)</t>
        </is>
      </c>
      <c r="B53" s="52" t="n"/>
      <c r="C53" s="52" t="n"/>
      <c r="D53" s="52" t="n"/>
      <c r="E53" s="52" t="n"/>
    </row>
    <row r="54">
      <c r="A54" t="inlineStr">
        <is>
          <t>F1</t>
        </is>
      </c>
      <c r="B54" t="inlineStr">
        <is>
          <t>EDGAR EFTS — NVIDIA 10-K</t>
        </is>
      </c>
      <c r="C54" s="53" t="inlineStr">
        <is>
          <t>Full-text EDGAR search for NVIDIA Corporation 10-K filings. Returns most recent annual report.</t>
        </is>
      </c>
      <c r="D54" s="54" t="inlineStr">
        <is>
          <t>https://efts.sec.gov/LATEST/search-index?q=%22NVIDIA+Corporation%22&amp;entity=NVIDIA&amp;forms=10-K&amp;dateRange=custom&amp;startdt=2025-01-01&amp;enddt=2025-06-30</t>
        </is>
      </c>
      <c r="E54" t="inlineStr">
        <is>
          <t>FY2025 10-K filed ~Feb 2025</t>
        </is>
      </c>
    </row>
    <row r="55">
      <c r="A55" t="inlineStr">
        <is>
          <t>F2</t>
        </is>
      </c>
      <c r="B55" t="inlineStr">
        <is>
          <t>EDGAR EFTS — AMD 10-K</t>
        </is>
      </c>
      <c r="C55" s="53" t="inlineStr">
        <is>
          <t>Full-text EDGAR search for Advanced Micro Devices 10-K filings.</t>
        </is>
      </c>
      <c r="D55" s="54" t="inlineStr">
        <is>
          <t>https://efts.sec.gov/LATEST/search-index?q=%22Advanced+Micro+Devices%22&amp;entity=AMD&amp;forms=10-K&amp;dateRange=custom&amp;startdt=2025-01-01&amp;enddt=2025-06-30</t>
        </is>
      </c>
      <c r="E55" t="inlineStr">
        <is>
          <t>FY2024 10-K filed ~Feb 2025</t>
        </is>
      </c>
    </row>
    <row r="56">
      <c r="A56" t="inlineStr">
        <is>
          <t>F3</t>
        </is>
      </c>
      <c r="B56" t="inlineStr">
        <is>
          <t>EDGAR EFTS — Intel 10-K</t>
        </is>
      </c>
      <c r="C56" s="53" t="inlineStr">
        <is>
          <t>Full-text EDGAR search for Intel Corporation 10-K filings.</t>
        </is>
      </c>
      <c r="D56" s="54" t="inlineStr">
        <is>
          <t>https://efts.sec.gov/LATEST/search-index?q=%22Intel+Corporation%22&amp;entity=Intel&amp;forms=10-K&amp;dateRange=custom&amp;startdt=2025-01-01&amp;enddt=2025-06-30</t>
        </is>
      </c>
      <c r="E56" t="inlineStr">
        <is>
          <t>FY2024 10-K filed ~Jan 2025</t>
        </is>
      </c>
    </row>
    <row r="57">
      <c r="A57" t="inlineStr">
        <is>
          <t>F4</t>
        </is>
      </c>
      <c r="B57" t="inlineStr">
        <is>
          <t>EDGAR EFTS — TXN 10-K</t>
        </is>
      </c>
      <c r="C57" s="53" t="inlineStr">
        <is>
          <t>Full-text EDGAR search for Texas Instruments 10-K filings.</t>
        </is>
      </c>
      <c r="D57" s="54" t="inlineStr">
        <is>
          <t>https://efts.sec.gov/LATEST/search-index?q=%22Texas+Instruments%22&amp;entity=Texas+Instruments&amp;forms=10-K&amp;dateRange=custom&amp;startdt=2025-01-01&amp;enddt=2025-06-30</t>
        </is>
      </c>
      <c r="E57" t="inlineStr">
        <is>
          <t>FY2024 10-K filed ~Feb 2025</t>
        </is>
      </c>
    </row>
    <row r="58">
      <c r="A58" t="inlineStr">
        <is>
          <t>F5</t>
        </is>
      </c>
      <c r="B58" t="inlineStr">
        <is>
          <t>EDGAR EFTS — Qualcomm 10-K</t>
        </is>
      </c>
      <c r="C58" s="53" t="inlineStr">
        <is>
          <t>Full-text EDGAR search for Qualcomm 10-K filings.</t>
        </is>
      </c>
      <c r="D58" s="54" t="inlineStr">
        <is>
          <t>https://efts.sec.gov/LATEST/search-index?q=%22Qualcomm+Incorporated%22&amp;entity=Qualcomm&amp;forms=10-K&amp;dateRange=custom&amp;startdt=2024-10-01&amp;enddt=2025-03-31</t>
        </is>
      </c>
      <c r="E58" t="inlineStr">
        <is>
          <t>FY2024 10-K (Oct–Sep FY) filed ~Nov 2024</t>
        </is>
      </c>
    </row>
    <row r="59">
      <c r="A59" t="inlineStr">
        <is>
          <t>F6</t>
        </is>
      </c>
      <c r="B59" t="inlineStr">
        <is>
          <t>EDGAR EFTS — NXP 20-F</t>
        </is>
      </c>
      <c r="C59" s="53" t="inlineStr">
        <is>
          <t>Full-text EDGAR search for NXP Semiconductors 20-F filings.</t>
        </is>
      </c>
      <c r="D59" s="54" t="inlineStr">
        <is>
          <t>https://efts.sec.gov/LATEST/search-index?q=%22NXP+Semiconductors%22&amp;entity=NXP&amp;forms=20-F&amp;dateRange=custom&amp;startdt=2025-01-01&amp;enddt=2025-06-30</t>
        </is>
      </c>
      <c r="E59" t="inlineStr">
        <is>
          <t>FY2024 20-F filed ~Mar 2025</t>
        </is>
      </c>
    </row>
    <row r="60">
      <c r="A60" t="inlineStr">
        <is>
          <t>F7</t>
        </is>
      </c>
      <c r="B60" t="inlineStr">
        <is>
          <t>EDGAR EFTS — TSMC 20-F</t>
        </is>
      </c>
      <c r="C60" s="53" t="inlineStr">
        <is>
          <t>Full-text EDGAR search for Taiwan Semiconductor Manufacturing 20-F filings.</t>
        </is>
      </c>
      <c r="D60" s="54" t="inlineStr">
        <is>
          <t>https://efts.sec.gov/LATEST/search-index?q=%22Taiwan+Semiconductor%22&amp;entity=TSMC&amp;forms=20-F&amp;dateRange=custom&amp;startdt=2025-01-01&amp;enddt=2025-06-30</t>
        </is>
      </c>
      <c r="E60" t="inlineStr">
        <is>
          <t>FY2024 20-F filed ~Apr 2025</t>
        </is>
      </c>
    </row>
    <row r="61">
      <c r="A61" t="inlineStr">
        <is>
          <t>F8</t>
        </is>
      </c>
      <c r="B61" t="inlineStr">
        <is>
          <t>EDGAR EFTS — Micron 10-K</t>
        </is>
      </c>
      <c r="C61" s="53" t="inlineStr">
        <is>
          <t>Full-text EDGAR search for Micron Technology 10-K filings.</t>
        </is>
      </c>
      <c r="D61" s="54" t="inlineStr">
        <is>
          <t>https://efts.sec.gov/LATEST/search-index?q=%22Micron+Technology%22&amp;entity=Micron&amp;forms=10-K&amp;dateRange=custom&amp;startdt=2024-09-01&amp;enddt=2025-02-28</t>
        </is>
      </c>
      <c r="E61" t="inlineStr">
        <is>
          <t>FY2024 10-K (Sep–Aug FY) filed ~Oct 2024</t>
        </is>
      </c>
    </row>
    <row r="62">
      <c r="A62" t="inlineStr">
        <is>
          <t>F9</t>
        </is>
      </c>
      <c r="B62" t="inlineStr">
        <is>
          <t>EDGAR EFTS — STM 20-F</t>
        </is>
      </c>
      <c r="C62" s="53" t="inlineStr">
        <is>
          <t>Full-text EDGAR search for STMicroelectronics 20-F filings.</t>
        </is>
      </c>
      <c r="D62" s="54" t="inlineStr">
        <is>
          <t>https://efts.sec.gov/LATEST/search-index?q=%22STMicroelectronics%22&amp;entity=STMicroelectronics&amp;forms=20-F&amp;dateRange=custom&amp;startdt=2025-01-01&amp;enddt=2025-06-30</t>
        </is>
      </c>
      <c r="E62" t="inlineStr">
        <is>
          <t>FY2024 20-F filed ~Mar 2025</t>
        </is>
      </c>
    </row>
    <row r="63">
      <c r="A63" t="inlineStr">
        <is>
          <t>F10</t>
        </is>
      </c>
      <c r="B63" t="inlineStr">
        <is>
          <t>EDGAR EFTS — Infineon 20-F</t>
        </is>
      </c>
      <c r="C63" s="53" t="inlineStr">
        <is>
          <t>Infineon files a 20-F (annual report on Form 20-F) with the SEC. FY = Oct–Sep.</t>
        </is>
      </c>
      <c r="D63" s="54" t="inlineStr">
        <is>
          <t>https://efts.sec.gov/LATEST/search-index?q=%22Infineon+Technologies%22&amp;entity=Infineon&amp;forms=20-F&amp;dateRange=custom&amp;startdt=2024-10-01&amp;enddt=2025-04-30</t>
        </is>
      </c>
      <c r="E63" t="inlineStr">
        <is>
          <t>FY2024 20-F filed ~Nov 2024</t>
        </is>
      </c>
    </row>
    <row r="64"/>
    <row r="65">
      <c r="A65" s="51" t="inlineStr">
        <is>
          <t>G — ADDITIONAL INDUSTRY &amp; CONTEXT REFERENCES  (Semiconductor sector, accounting standards, strategy)</t>
        </is>
      </c>
      <c r="B65" s="52" t="n"/>
      <c r="C65" s="52" t="n"/>
      <c r="D65" s="52" t="n"/>
      <c r="E65" s="52" t="n"/>
    </row>
    <row r="66">
      <c r="A66" t="inlineStr">
        <is>
          <t>G1</t>
        </is>
      </c>
      <c r="B66" t="inlineStr">
        <is>
          <t>SEMI — Industry Statistics &amp; Reports</t>
        </is>
      </c>
      <c r="C66" s="53" t="inlineStr">
        <is>
          <t>SEMI is the global industry association for the electronics design and manufacturing supply chain. Industry capacity and fab data referenced in Sheet 8 business model commentary.</t>
        </is>
      </c>
      <c r="D66" s="54" t="inlineStr">
        <is>
          <t>https://www.semi.org/en/market-research-statistics</t>
        </is>
      </c>
      <c r="E66" t="inlineStr">
        <is>
          <t>Fab capacity &amp; market data</t>
        </is>
      </c>
    </row>
    <row r="67">
      <c r="A67" t="inlineStr">
        <is>
          <t>G2</t>
        </is>
      </c>
      <c r="B67" t="inlineStr">
        <is>
          <t>IC Insights — Semiconductor Market Research</t>
        </is>
      </c>
      <c r="C67" s="53" t="inlineStr">
        <is>
          <t>IC Insights provides semiconductor industry market research including capacity, shipments, and company rankings used in context of Sheet 8 business model analysis.</t>
        </is>
      </c>
      <c r="D67" s="54" t="inlineStr">
        <is>
          <t>https://www.icinsights.com/</t>
        </is>
      </c>
      <c r="E67" t="inlineStr">
        <is>
          <t>Market share &amp; capacity data</t>
        </is>
      </c>
    </row>
    <row r="68">
      <c r="A68" t="inlineStr">
        <is>
          <t>G3</t>
        </is>
      </c>
      <c r="B68" t="inlineStr">
        <is>
          <t>Gartner — Top 25 Supply Chains (Semiconductor)</t>
        </is>
      </c>
      <c r="C68" s="53" t="inlineStr">
        <is>
          <t>Gartner's annual Top 25 Supply Chains ranking includes semiconductor leaders like TSMC, NVIDIA, and Qualcomm referenced in NWC strategy commentary (Sheet 7).</t>
        </is>
      </c>
      <c r="D68" s="54" t="inlineStr">
        <is>
          <t>https://www.gartner.com/en/supply-chain/research/top-25-supply-chains</t>
        </is>
      </c>
      <c r="E68" t="inlineStr">
        <is>
          <t>Supply chain benchmarking</t>
        </is>
      </c>
    </row>
    <row r="69">
      <c r="A69" t="inlineStr">
        <is>
          <t>G4</t>
        </is>
      </c>
      <c r="B69" t="inlineStr">
        <is>
          <t>TXN Strategic Inventory Build — Management Commentary (Q3 2023 Earnings)</t>
        </is>
      </c>
      <c r="C69" s="53" t="inlineStr">
        <is>
          <t>Texas Instruments management guidance on deliberate inventory build-up (20–25 weeks target) referenced in Sheet 7 NWC strategy and Sheet 8 business model.</t>
        </is>
      </c>
      <c r="D69" s="54" t="inlineStr">
        <is>
          <t>https://ir.ti.com/news-releases/news-release-details/texas-instruments-reports-third-quarter-2023-financial-results</t>
        </is>
      </c>
      <c r="E69" t="inlineStr">
        <is>
          <t>TXN inventory strategy context</t>
        </is>
      </c>
    </row>
    <row r="70">
      <c r="A70" t="inlineStr">
        <is>
          <t>G5</t>
        </is>
      </c>
      <c r="B70" t="inlineStr">
        <is>
          <t>Intel Q4 2024 Earnings — Impairment Charge Commentary</t>
        </is>
      </c>
      <c r="C70" s="53" t="inlineStr">
        <is>
          <t>Intel's Q4/FY2024 earnings release provides context for the ~$5.2B COGS impairment that distorts Intel's gross margin and DIO metrics in this report.</t>
        </is>
      </c>
      <c r="D70" s="54" t="inlineStr">
        <is>
          <t>https://www.intc.com/news-releases/news-release-details/intel-reports-fourth-quarter-and-full-year-2024-financial-results</t>
        </is>
      </c>
      <c r="E70" t="inlineStr">
        <is>
          <t>Intel COGS impairment context</t>
        </is>
      </c>
    </row>
    <row r="71">
      <c r="A71" t="inlineStr">
        <is>
          <t>G6</t>
        </is>
      </c>
      <c r="B71" t="inlineStr">
        <is>
          <t>Qualcomm FY2024 Annual Report — Supply Chain Commentary</t>
        </is>
      </c>
      <c r="C71" s="53" t="inlineStr">
        <is>
          <t>Qualcomm's FY2024 10-K provides detail on fabless model, TSMC supply chain, and extended payment terms driving best-in-class DPO (88.44d) and CCC (22.11d).</t>
        </is>
      </c>
      <c r="D71" s="54" t="inlineStr">
        <is>
          <t>https://www.sec.gov/cgi-bin/browse-edgar?action=getcompany&amp;CIK=0000804328&amp;type=10-K&amp;dateb=&amp;owner=include&amp;count=5</t>
        </is>
      </c>
      <c r="E71" t="inlineStr">
        <is>
          <t>Qualcomm fabless DPO context</t>
        </is>
      </c>
    </row>
    <row r="72">
      <c r="A72" t="inlineStr">
        <is>
          <t>G7</t>
        </is>
      </c>
      <c r="B72" t="inlineStr">
        <is>
          <t>Micron FY2024 Annual Report — Memory Cycle Recovery Commentary</t>
        </is>
      </c>
      <c r="C72" s="53" t="inlineStr">
        <is>
          <t>Micron's 10-K provides context for the FY2023 memory trough (negative gross profit) and FY2024 recovery affecting two-period average DIO calculations.</t>
        </is>
      </c>
      <c r="D72" s="54" t="inlineStr">
        <is>
          <t>https://www.sec.gov/cgi-bin/browse-edgar?action=getcompany&amp;CIK=0000723125&amp;type=10-K&amp;dateb=&amp;owner=include&amp;count=5</t>
        </is>
      </c>
      <c r="E72" t="inlineStr">
        <is>
          <t>Micron memory cycle context</t>
        </is>
      </c>
    </row>
    <row r="73">
      <c r="A73" t="inlineStr">
        <is>
          <t>G8</t>
        </is>
      </c>
      <c r="B73" t="inlineStr">
        <is>
          <t>TSMC Integrated Report 2024 (Chinese/English)</t>
        </is>
      </c>
      <c r="C73" s="53" t="inlineStr">
        <is>
          <t>TSMC's Integrated Report (20-F supplement) provides OCF, capex, and operating data in NT$ used to estimate USD OCF for CRR calculation (Sheet 3, col M).</t>
        </is>
      </c>
      <c r="D73" s="54" t="inlineStr">
        <is>
          <t>https://investor.tsmc.com/english/annual-reports</t>
        </is>
      </c>
      <c r="E73" t="inlineStr">
        <is>
          <t>TSMC OCF estimation source</t>
        </is>
      </c>
    </row>
    <row r="74">
      <c r="A74" t="inlineStr">
        <is>
          <t>G9</t>
        </is>
      </c>
      <c r="B74" t="inlineStr">
        <is>
          <t>Infineon Annual Report 2024 — Auto Semiconductor Market Commentary</t>
        </is>
      </c>
      <c r="C74" s="53" t="inlineStr">
        <is>
          <t>Infineon's FY2024 annual report documents the automotive semiconductor demand collapse context driving DIO of 243.74d, the worst in this peer group.</t>
        </is>
      </c>
      <c r="D74" s="54" t="inlineStr">
        <is>
          <t>https://www.infineon.com/cms/en/about-infineon/investor/reports-and-presentations/annual-report/</t>
        </is>
      </c>
      <c r="E74" t="inlineStr">
        <is>
          <t>Infineon auto crisis context</t>
        </is>
      </c>
    </row>
    <row r="75">
      <c r="A75" t="inlineStr">
        <is>
          <t>G10</t>
        </is>
      </c>
      <c r="B75" t="inlineStr">
        <is>
          <t>Investopedia — Accounts Receivable Turnover Ratio</t>
        </is>
      </c>
      <c r="C75" s="53" t="inlineStr">
        <is>
          <t>AR Turnover formula: AR Turns = Net Revenue / Average Accounts Receivable. This is the inverse of DSO × 365. Used in Sheet 3 col I and Sheet 4 rankings.</t>
        </is>
      </c>
      <c r="D75" s="54" t="inlineStr">
        <is>
          <t>https://www.investopedia.com/terms/a/assetturnover.asp</t>
        </is>
      </c>
      <c r="E75" t="inlineStr">
        <is>
          <t>AR Turns definition</t>
        </is>
      </c>
    </row>
    <row r="76">
      <c r="A76" t="inlineStr">
        <is>
          <t>G11</t>
        </is>
      </c>
      <c r="B76" t="inlineStr">
        <is>
          <t>Investopedia — Working Capital Turnover Ratio</t>
        </is>
      </c>
      <c r="C76" s="53" t="inlineStr">
        <is>
          <t>WC Intensity = WC / Revenue. Measures how efficiently a company uses its working capital to generate revenue. Used in Sheet 3 col F and scoring model.</t>
        </is>
      </c>
      <c r="D76" s="54" t="inlineStr">
        <is>
          <t>https://www.investopedia.com/terms/w/workingcapitalturnover.asp</t>
        </is>
      </c>
      <c r="E76" t="inlineStr">
        <is>
          <t>WC Intensity / turnover</t>
        </is>
      </c>
    </row>
    <row r="77">
      <c r="A77" t="inlineStr">
        <is>
          <t>G12</t>
        </is>
      </c>
      <c r="B77" t="inlineStr">
        <is>
          <t>CFA Institute — Financial Statement Analysis (Inventory &amp; Receivables)</t>
        </is>
      </c>
      <c r="C77" s="53" t="inlineStr">
        <is>
          <t>CFA curriculum chapter covering ratio analysis of current assets including DIO, DSO, and inventory quality metrics used across Sheets 3–6 of this report.</t>
        </is>
      </c>
      <c r="D77" s="54" t="inlineStr">
        <is>
          <t>https://www.cfainstitute.org/en/membership/professional-development/refresher-readings/inventories</t>
        </is>
      </c>
      <c r="E77" t="inlineStr">
        <is>
          <t>Inventory ratio methodology</t>
        </is>
      </c>
    </row>
    <row r="78">
      <c r="A78" t="inlineStr">
        <is>
          <t>G13</t>
        </is>
      </c>
      <c r="B78" t="inlineStr">
        <is>
          <t>IFRS Foundation — IFRS 15 Revenue from Contracts with Customers</t>
        </is>
      </c>
      <c r="C78" s="53" t="inlineStr">
        <is>
          <t>Governs revenue recognition for TSMC, NXP, STM, and Infineon (IFRS reporters). Relevant for interpreting AR timing and DSO comparability across GAAP/IFRS companies.</t>
        </is>
      </c>
      <c r="D78" s="54" t="inlineStr">
        <is>
          <t>https://www.ifrs.org/issued-standards/list-of-standards/ifrs-15-revenue-from-contracts-with-customers/</t>
        </is>
      </c>
      <c r="E78" t="inlineStr">
        <is>
          <t>IFRS revenue recognition — DSO comparability</t>
        </is>
      </c>
    </row>
    <row r="79">
      <c r="A79" t="inlineStr">
        <is>
          <t>G14</t>
        </is>
      </c>
      <c r="B79" t="inlineStr">
        <is>
          <t>ASC 606 — Revenue from Contracts with Customers (US GAAP)</t>
        </is>
      </c>
      <c r="C79" s="53" t="inlineStr">
        <is>
          <t>US GAAP equivalent of IFRS 15. Governs revenue recognition for NVIDIA, AMD, Intel, TXN, Qualcomm, and Micron. Affects AR timing and DSO calculation.</t>
        </is>
      </c>
      <c r="D79" s="54" t="inlineStr">
        <is>
          <t>https://asc.fasb.org/606</t>
        </is>
      </c>
      <c r="E79" t="inlineStr">
        <is>
          <t>US GAAP revenue recognition — DSO comparability</t>
        </is>
      </c>
    </row>
    <row r="80">
      <c r="A80" t="inlineStr">
        <is>
          <t>G15</t>
        </is>
      </c>
      <c r="B80" t="inlineStr">
        <is>
          <t>Federal Reserve Statistical Release H.10 — Taiwan Dollar vs USD (Annual avg)</t>
        </is>
      </c>
      <c r="C80" s="53" t="inlineStr">
        <is>
          <t>Annual average TWD/USD exchange rate series. Used to verify TSMC FX assumption (32.0 TWD/USD for 2024, 31.1 for 2023) for USD conversion of financial data.</t>
        </is>
      </c>
      <c r="D80" s="54" t="inlineStr">
        <is>
          <t>https://www.federalreserve.gov/releases/h10/20250120/</t>
        </is>
      </c>
      <c r="E80" t="inlineStr">
        <is>
          <t>TWD/USD annual average Jan 2025 release</t>
        </is>
      </c>
    </row>
  </sheetData>
  <mergeCells count="7">
    <mergeCell ref="A29:E29"/>
    <mergeCell ref="A35:E35"/>
    <mergeCell ref="A51:E51"/>
    <mergeCell ref="A1:E1"/>
    <mergeCell ref="A14:E14"/>
    <mergeCell ref="A18:E18"/>
    <mergeCell ref="A3:E3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30" r:id="rId24"/>
    <hyperlink xmlns:r="http://schemas.openxmlformats.org/officeDocument/2006/relationships" ref="D31" r:id="rId25"/>
    <hyperlink xmlns:r="http://schemas.openxmlformats.org/officeDocument/2006/relationships" ref="D32" r:id="rId26"/>
    <hyperlink xmlns:r="http://schemas.openxmlformats.org/officeDocument/2006/relationships" ref="D33" r:id="rId27"/>
    <hyperlink xmlns:r="http://schemas.openxmlformats.org/officeDocument/2006/relationships" ref="D34" r:id="rId28"/>
    <hyperlink xmlns:r="http://schemas.openxmlformats.org/officeDocument/2006/relationships" ref="D36" r:id="rId29"/>
    <hyperlink xmlns:r="http://schemas.openxmlformats.org/officeDocument/2006/relationships" ref="D37" r:id="rId30"/>
    <hyperlink xmlns:r="http://schemas.openxmlformats.org/officeDocument/2006/relationships" ref="D38" r:id="rId31"/>
    <hyperlink xmlns:r="http://schemas.openxmlformats.org/officeDocument/2006/relationships" ref="D39" r:id="rId32"/>
    <hyperlink xmlns:r="http://schemas.openxmlformats.org/officeDocument/2006/relationships" ref="D40" r:id="rId33"/>
    <hyperlink xmlns:r="http://schemas.openxmlformats.org/officeDocument/2006/relationships" ref="D41" r:id="rId34"/>
    <hyperlink xmlns:r="http://schemas.openxmlformats.org/officeDocument/2006/relationships" ref="D42" r:id="rId35"/>
    <hyperlink xmlns:r="http://schemas.openxmlformats.org/officeDocument/2006/relationships" ref="D43" r:id="rId36"/>
    <hyperlink xmlns:r="http://schemas.openxmlformats.org/officeDocument/2006/relationships" ref="D44" r:id="rId37"/>
    <hyperlink xmlns:r="http://schemas.openxmlformats.org/officeDocument/2006/relationships" ref="D45" r:id="rId38"/>
    <hyperlink xmlns:r="http://schemas.openxmlformats.org/officeDocument/2006/relationships" ref="D46" r:id="rId39"/>
    <hyperlink xmlns:r="http://schemas.openxmlformats.org/officeDocument/2006/relationships" ref="D47" r:id="rId40"/>
    <hyperlink xmlns:r="http://schemas.openxmlformats.org/officeDocument/2006/relationships" ref="D48" r:id="rId41"/>
    <hyperlink xmlns:r="http://schemas.openxmlformats.org/officeDocument/2006/relationships" ref="D49" r:id="rId42"/>
    <hyperlink xmlns:r="http://schemas.openxmlformats.org/officeDocument/2006/relationships" ref="D54" r:id="rId43"/>
    <hyperlink xmlns:r="http://schemas.openxmlformats.org/officeDocument/2006/relationships" ref="D55" r:id="rId44"/>
    <hyperlink xmlns:r="http://schemas.openxmlformats.org/officeDocument/2006/relationships" ref="D56" r:id="rId45"/>
    <hyperlink xmlns:r="http://schemas.openxmlformats.org/officeDocument/2006/relationships" ref="D57" r:id="rId46"/>
    <hyperlink xmlns:r="http://schemas.openxmlformats.org/officeDocument/2006/relationships" ref="D58" r:id="rId47"/>
    <hyperlink xmlns:r="http://schemas.openxmlformats.org/officeDocument/2006/relationships" ref="D59" r:id="rId48"/>
    <hyperlink xmlns:r="http://schemas.openxmlformats.org/officeDocument/2006/relationships" ref="D60" r:id="rId49"/>
    <hyperlink xmlns:r="http://schemas.openxmlformats.org/officeDocument/2006/relationships" ref="D61" r:id="rId50"/>
    <hyperlink xmlns:r="http://schemas.openxmlformats.org/officeDocument/2006/relationships" ref="D62" r:id="rId51"/>
    <hyperlink xmlns:r="http://schemas.openxmlformats.org/officeDocument/2006/relationships" ref="D63" r:id="rId52"/>
    <hyperlink xmlns:r="http://schemas.openxmlformats.org/officeDocument/2006/relationships" ref="D66" r:id="rId53"/>
    <hyperlink xmlns:r="http://schemas.openxmlformats.org/officeDocument/2006/relationships" ref="D67" r:id="rId54"/>
    <hyperlink xmlns:r="http://schemas.openxmlformats.org/officeDocument/2006/relationships" ref="D68" r:id="rId55"/>
    <hyperlink xmlns:r="http://schemas.openxmlformats.org/officeDocument/2006/relationships" ref="D69" r:id="rId56"/>
    <hyperlink xmlns:r="http://schemas.openxmlformats.org/officeDocument/2006/relationships" ref="D70" r:id="rId57"/>
    <hyperlink xmlns:r="http://schemas.openxmlformats.org/officeDocument/2006/relationships" ref="D71" r:id="rId58"/>
    <hyperlink xmlns:r="http://schemas.openxmlformats.org/officeDocument/2006/relationships" ref="D72" r:id="rId59"/>
    <hyperlink xmlns:r="http://schemas.openxmlformats.org/officeDocument/2006/relationships" ref="D73" r:id="rId60"/>
    <hyperlink xmlns:r="http://schemas.openxmlformats.org/officeDocument/2006/relationships" ref="D74" r:id="rId61"/>
    <hyperlink xmlns:r="http://schemas.openxmlformats.org/officeDocument/2006/relationships" ref="D75" r:id="rId62"/>
    <hyperlink xmlns:r="http://schemas.openxmlformats.org/officeDocument/2006/relationships" ref="D76" r:id="rId63"/>
    <hyperlink xmlns:r="http://schemas.openxmlformats.org/officeDocument/2006/relationships" ref="D77" r:id="rId64"/>
    <hyperlink xmlns:r="http://schemas.openxmlformats.org/officeDocument/2006/relationships" ref="D78" r:id="rId65"/>
    <hyperlink xmlns:r="http://schemas.openxmlformats.org/officeDocument/2006/relationships" ref="D79" r:id="rId66"/>
    <hyperlink xmlns:r="http://schemas.openxmlformats.org/officeDocument/2006/relationships" ref="D80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2026-05-05T14:37:11Z</dcterms:created>
  <dcterms:modified xsi:type="dcterms:W3CDTF">2026-05-05T20:19:33Z</dcterms:modified>
</cp:coreProperties>
</file>